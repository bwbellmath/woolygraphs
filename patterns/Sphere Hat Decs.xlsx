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ce" sheetId="1" r:id="rId5"/>
  </sheets>
  <definedNames/>
  <calcPr/>
</workbook>
</file>

<file path=xl/sharedStrings.xml><?xml version="1.0" encoding="utf-8"?>
<sst xmlns="http://schemas.openxmlformats.org/spreadsheetml/2006/main" count="29" uniqueCount="28">
  <si>
    <t>Centered Slice Decrease Planner</t>
  </si>
  <si>
    <t>Slices n</t>
  </si>
  <si>
    <t>How to read the grid</t>
  </si>
  <si>
    <t>Stitches / in</t>
  </si>
  <si>
    <t>Columns are numbered 1..Display width. The highlighted width in each row is exactly width_sts for that level.</t>
  </si>
  <si>
    <t>Rows / in</t>
  </si>
  <si>
    <t>Odd display width: one yellow 0-stitch column. Even display width: no 0 stitch; center line lies between the two middle stitches.</t>
  </si>
  <si>
    <t>Radius (in)</t>
  </si>
  <si>
    <t>Orange/green are the two last highlighted stitches on the left/right; their text is the count from the middle using floor/ceil.</t>
  </si>
  <si>
    <t>Display width (st)</t>
  </si>
  <si>
    <t>Suggested max width (st)</t>
  </si>
  <si>
    <t>Set B6 to your pattern width if you want the display centered inside a fixed repeat.</t>
  </si>
  <si>
    <t>Center reference</t>
  </si>
  <si>
    <t>Odd width -&gt; one real center stitch. Even width -&gt; center line falls between two stitches.</t>
  </si>
  <si>
    <t>Pole-to-equator rows</t>
  </si>
  <si>
    <t>Rows are measured from the pole down to the equator.</t>
  </si>
  <si>
    <t>Centerline (display)</t>
  </si>
  <si>
    <t>width_sts</t>
  </si>
  <si>
    <t>row_from_pole</t>
  </si>
  <si>
    <t>arc_from_pole_in</t>
  </si>
  <si>
    <t>theta_rad</t>
  </si>
  <si>
    <t>circumference_in</t>
  </si>
  <si>
    <t>circumference_sts</t>
  </si>
  <si>
    <t>slice_sts_exact</t>
  </si>
  <si>
    <t>left_boundary</t>
  </si>
  <si>
    <t>right_boundary</t>
  </si>
  <si>
    <t>centerline</t>
  </si>
  <si>
    <t>Display (columns 1..pattern width)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</si>
</sst>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sz val="11.0"/>
      <color rgb="FF0000FF"/>
      <name val="Cambria"/>
    </font>
    <font>
      <sz val="11.0"/>
      <color theme="1"/>
      <name val="Calibri"/>
    </font>
    <font>
      <sz val="11.0"/>
      <color rgb="FF000000"/>
      <name val="Cambria"/>
    </font>
    <font>
      <color theme="1"/>
      <name val="Calibri"/>
      <scheme val="minor"/>
    </font>
    <font>
      <b/>
      <sz val="11.0"/>
      <color rgb="FFFFFFFF"/>
      <name val="Cambria"/>
    </font>
    <font/>
    <font>
      <sz val="9.0"/>
      <color theme="1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7">
    <border/>
    <border>
      <left/>
      <right/>
      <top/>
      <bottom/>
    </border>
    <border>
      <left/>
      <right/>
      <top/>
      <bottom style="thin">
        <color rgb="FFC9C9C9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C9C9C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0"/>
    </xf>
    <xf borderId="0" fillId="0" fontId="6" numFmtId="0" xfId="0" applyFont="1"/>
    <xf borderId="2" fillId="4" fontId="7" numFmtId="0" xfId="0" applyAlignment="1" applyBorder="1" applyFill="1" applyFont="1">
      <alignment horizontal="center" shrinkToFit="0" vertical="bottom" wrapText="0"/>
    </xf>
    <xf borderId="3" fillId="4" fontId="7" numFmtId="0" xfId="0" applyAlignment="1" applyBorder="1" applyFill="1" applyFont="1">
      <alignment shrinkToFit="0" vertical="bottom" wrapText="0"/>
    </xf>
    <xf borderId="4" fillId="0" fontId="8" numFmtId="0" xfId="0" applyBorder="1" applyFont="1"/>
    <xf borderId="5" fillId="0" fontId="8" numFmtId="0" xfId="0" applyBorder="1" applyFont="1"/>
    <xf borderId="6" fillId="0" fontId="4" numFmtId="2" xfId="0" applyAlignment="1" applyBorder="1" applyFont="1" applyNumberForma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  <xf borderId="0" fillId="0" fontId="9" numFmtId="0" xfId="0" applyAlignment="1" applyFont="1">
      <alignment horizontal="center" shrinkToFit="0" vertical="center" wrapText="0"/>
    </xf>
    <xf borderId="6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9DC3E6"/>
          <bgColor rgb="FF9DC3E6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A9D18E"/>
          <bgColor rgb="FFA9D18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15.0"/>
    <col customWidth="1" min="4" max="4" width="11.0"/>
    <col customWidth="1" min="5" max="6" width="16.0"/>
    <col customWidth="1" min="7" max="7" width="15.0"/>
    <col customWidth="1" min="8" max="9" width="12.0"/>
    <col customWidth="1" min="10" max="10" width="28.57"/>
    <col customWidth="1" min="11" max="11" width="2.0"/>
    <col customWidth="1" min="12" max="12" width="3.0"/>
    <col customWidth="1" min="13" max="51" width="3.14"/>
  </cols>
  <sheetData>
    <row r="1">
      <c r="A1" s="1" t="s">
        <v>0</v>
      </c>
    </row>
    <row r="2">
      <c r="A2" s="2" t="s">
        <v>1</v>
      </c>
      <c r="B2" s="3">
        <v>6.0</v>
      </c>
      <c r="J2" s="2" t="s">
        <v>2</v>
      </c>
    </row>
    <row r="3">
      <c r="A3" s="2" t="s">
        <v>3</v>
      </c>
      <c r="B3" s="4">
        <v>7.5</v>
      </c>
      <c r="J3" s="5" t="s">
        <v>4</v>
      </c>
    </row>
    <row r="4">
      <c r="A4" s="2" t="s">
        <v>5</v>
      </c>
      <c r="B4" s="4">
        <v>12.5</v>
      </c>
      <c r="J4" s="5" t="s">
        <v>6</v>
      </c>
    </row>
    <row r="5">
      <c r="A5" s="2" t="s">
        <v>7</v>
      </c>
      <c r="B5" s="3">
        <v>3.6</v>
      </c>
      <c r="J5" s="5" t="s">
        <v>8</v>
      </c>
    </row>
    <row r="6">
      <c r="A6" s="2" t="s">
        <v>9</v>
      </c>
      <c r="B6" s="3">
        <v>18.0</v>
      </c>
    </row>
    <row r="7">
      <c r="A7" s="2" t="s">
        <v>10</v>
      </c>
      <c r="B7" s="6">
        <f>ROUND(2*PI()*$B$5*$B$3/$B$2,0)</f>
        <v>28</v>
      </c>
      <c r="C7" s="5" t="s">
        <v>11</v>
      </c>
    </row>
    <row r="8">
      <c r="A8" s="2" t="s">
        <v>12</v>
      </c>
      <c r="B8" s="6" t="str">
        <f>IF(MOD($B$6,2)=1,"odd width: stitch "&amp;ROUNDUP($B$6/2,0)&amp;" is the 0 column","even width: the 0 line is between stitches "&amp;$B$6/2&amp;" and "&amp;($B$6/2+1))</f>
        <v>even width: the 0 line is between stitches 9 and 10</v>
      </c>
      <c r="C8" s="5" t="s">
        <v>13</v>
      </c>
    </row>
    <row r="9">
      <c r="A9" s="2" t="s">
        <v>14</v>
      </c>
      <c r="B9" s="6">
        <f>ROUND(PI()*$B$5*$B$4/2,0)</f>
        <v>71</v>
      </c>
      <c r="C9" s="5" t="s">
        <v>15</v>
      </c>
    </row>
    <row r="10">
      <c r="A10" s="2" t="s">
        <v>16</v>
      </c>
      <c r="B10" s="6">
        <f>$B$6/2+0.5</f>
        <v>9.5</v>
      </c>
    </row>
    <row r="11">
      <c r="A11" s="7" t="s">
        <v>17</v>
      </c>
    </row>
    <row r="12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  <c r="G12" s="8" t="s">
        <v>23</v>
      </c>
      <c r="H12" s="8" t="s">
        <v>24</v>
      </c>
      <c r="I12" s="8" t="s">
        <v>25</v>
      </c>
      <c r="J12" s="8" t="s">
        <v>26</v>
      </c>
      <c r="L12" s="9" t="s">
        <v>27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1"/>
    </row>
    <row r="13" ht="12.0" customHeight="1">
      <c r="A13" s="12">
        <f t="shared" ref="A13:A262" si="1">IF($G13="","",ROUND($G13,0))</f>
        <v>0</v>
      </c>
      <c r="B13" s="13">
        <f t="shared" ref="B13:B262" si="2">IF(ROW()-13&lt;=$B$9,ROW()-13,"")</f>
        <v>0</v>
      </c>
      <c r="C13" s="12">
        <f t="shared" ref="C13:C262" si="3">IF($B13="","",$B13/$B$4)</f>
        <v>0</v>
      </c>
      <c r="D13" s="12">
        <f t="shared" ref="D13:D262" si="4">IF($C13="","",$C13/$B$5)</f>
        <v>0</v>
      </c>
      <c r="E13" s="12">
        <f t="shared" ref="E13:E262" si="5">IF($D13="","",2*PI()*$B$5*SIN($D13))</f>
        <v>0</v>
      </c>
      <c r="F13" s="12">
        <f t="shared" ref="F13:F262" si="6">IF($E13="","",$E13*$B$3)</f>
        <v>0</v>
      </c>
      <c r="G13" s="12">
        <f t="shared" ref="G13:G262" si="7">IF($F13="","",$F13/$B$2)</f>
        <v>0</v>
      </c>
      <c r="H13" s="12">
        <f t="shared" ref="H13:H262" si="8">IF($A13="","",$J13-$A13/2)</f>
        <v>9.5</v>
      </c>
      <c r="I13" s="12">
        <f t="shared" ref="I13:I262" si="9">IF($A13="","",$J13+$A13/2)</f>
        <v>9.5</v>
      </c>
      <c r="J13" s="12">
        <f t="shared" ref="J13:J262" si="10">IF($A13="","",$B$10)</f>
        <v>9.5</v>
      </c>
      <c r="L13" s="14">
        <f>IF(1&lt;=$B$6,1,"")</f>
        <v>1</v>
      </c>
      <c r="M13" s="14">
        <f>IF(2&lt;=$B$6,2,"")</f>
        <v>2</v>
      </c>
      <c r="N13" s="14">
        <f>IF(3&lt;=$B$6,3,"")</f>
        <v>3</v>
      </c>
      <c r="O13" s="14">
        <f>IF(4&lt;=$B$6,4,"")</f>
        <v>4</v>
      </c>
      <c r="P13" s="14">
        <f>IF(5&lt;=$B$6,5,"")</f>
        <v>5</v>
      </c>
      <c r="Q13" s="14">
        <f>IF(6&lt;=$B$6,6,"")</f>
        <v>6</v>
      </c>
      <c r="R13" s="14">
        <f>IF(7&lt;=$B$6,7,"")</f>
        <v>7</v>
      </c>
      <c r="S13" s="14">
        <f>IF(8&lt;=$B$6,8,"")</f>
        <v>8</v>
      </c>
      <c r="T13" s="14">
        <f>IF(9&lt;=$B$6,9,"")</f>
        <v>9</v>
      </c>
      <c r="U13" s="14">
        <f>IF(10&lt;=$B$6,10,"")</f>
        <v>10</v>
      </c>
      <c r="V13" s="14">
        <f>IF(11&lt;=$B$6,11,"")</f>
        <v>11</v>
      </c>
      <c r="W13" s="14">
        <f>IF(12&lt;=$B$6,12,"")</f>
        <v>12</v>
      </c>
      <c r="X13" s="14">
        <f>IF(13&lt;=$B$6,13,"")</f>
        <v>13</v>
      </c>
      <c r="Y13" s="14">
        <f>IF(14&lt;=$B$6,14,"")</f>
        <v>14</v>
      </c>
      <c r="Z13" s="14">
        <f>IF(15&lt;=$B$6,15,"")</f>
        <v>15</v>
      </c>
      <c r="AA13" s="14">
        <f>IF(16&lt;=$B$6,16,"")</f>
        <v>16</v>
      </c>
      <c r="AB13" s="14">
        <f>IF(17&lt;=$B$6,17,"")</f>
        <v>17</v>
      </c>
      <c r="AC13" s="14">
        <f>IF(18&lt;=$B$6,18,"")</f>
        <v>18</v>
      </c>
      <c r="AD13" s="14" t="str">
        <f>IF(19&lt;=$B$6,19,"")</f>
        <v/>
      </c>
      <c r="AE13" s="14" t="str">
        <f>IF(20&lt;=$B$6,20,"")</f>
        <v/>
      </c>
      <c r="AF13" s="14" t="str">
        <f>IF(21&lt;=$B$6,21,"")</f>
        <v/>
      </c>
      <c r="AG13" s="14" t="str">
        <f>IF(22&lt;=$B$6,22,"")</f>
        <v/>
      </c>
      <c r="AH13" s="14" t="str">
        <f>IF(23&lt;=$B$6,23,"")</f>
        <v/>
      </c>
      <c r="AI13" s="14" t="str">
        <f>IF(24&lt;=$B$6,24,"")</f>
        <v/>
      </c>
      <c r="AJ13" s="14" t="str">
        <f>IF(25&lt;=$B$6,25,"")</f>
        <v/>
      </c>
      <c r="AK13" s="14" t="str">
        <f>IF(26&lt;=$B$6,26,"")</f>
        <v/>
      </c>
      <c r="AL13" s="14" t="str">
        <f>IF(27&lt;=$B$6,27,"")</f>
        <v/>
      </c>
      <c r="AM13" s="14" t="str">
        <f>IF(28&lt;=$B$6,28,"")</f>
        <v/>
      </c>
      <c r="AN13" s="14" t="str">
        <f>IF(29&lt;=$B$6,29,"")</f>
        <v/>
      </c>
      <c r="AO13" s="14" t="str">
        <f>IF(30&lt;=$B$6,30,"")</f>
        <v/>
      </c>
      <c r="AP13" s="14" t="str">
        <f>IF(31&lt;=$B$6,31,"")</f>
        <v/>
      </c>
      <c r="AQ13" s="14" t="str">
        <f>IF(32&lt;=$B$6,32,"")</f>
        <v/>
      </c>
      <c r="AR13" s="14" t="str">
        <f>IF(33&lt;=$B$6,33,"")</f>
        <v/>
      </c>
      <c r="AS13" s="14" t="str">
        <f>IF(34&lt;=$B$6,34,"")</f>
        <v/>
      </c>
      <c r="AT13" s="14" t="str">
        <f>IF(35&lt;=$B$6,35,"")</f>
        <v/>
      </c>
      <c r="AU13" s="14" t="str">
        <f>IF(36&lt;=$B$6,36,"")</f>
        <v/>
      </c>
      <c r="AV13" s="14" t="str">
        <f>IF(37&lt;=$B$6,37,"")</f>
        <v/>
      </c>
      <c r="AW13" s="14" t="str">
        <f>IF(38&lt;=$B$6,38,"")</f>
        <v/>
      </c>
      <c r="AX13" s="14" t="str">
        <f>IF(39&lt;=$B$6,39,"")</f>
        <v/>
      </c>
      <c r="AY13" s="14" t="str">
        <f>IF(40&lt;=$B$6,40,"")</f>
        <v/>
      </c>
    </row>
    <row r="14" ht="12.0" customHeight="1">
      <c r="A14" s="12">
        <f t="shared" si="1"/>
        <v>1</v>
      </c>
      <c r="B14" s="13">
        <f t="shared" si="2"/>
        <v>1</v>
      </c>
      <c r="C14" s="12">
        <f t="shared" si="3"/>
        <v>0.08</v>
      </c>
      <c r="D14" s="12">
        <f t="shared" si="4"/>
        <v>0.02222222222</v>
      </c>
      <c r="E14" s="12">
        <f t="shared" si="5"/>
        <v>0.5026134548</v>
      </c>
      <c r="F14" s="12">
        <f t="shared" si="6"/>
        <v>3.769600911</v>
      </c>
      <c r="G14" s="12">
        <f t="shared" si="7"/>
        <v>0.6282668185</v>
      </c>
      <c r="H14" s="12">
        <f t="shared" si="8"/>
        <v>9</v>
      </c>
      <c r="I14" s="12">
        <f t="shared" si="9"/>
        <v>10</v>
      </c>
      <c r="J14" s="12">
        <f t="shared" si="10"/>
        <v>9.5</v>
      </c>
      <c r="L14" s="15" t="str">
        <f t="shared" ref="L14:AY14" si="11">IF(L$13="","",IF(AND(L$13&gt;$H13,L$13&lt;=$I13),IF(AND(MOD($B$6,2)=1,L$13=ROUNDUP($J13,0)),"0",IF(L$13=INT($H13)+1,ROUNDDOWN(ABS(L$13-$J13),0),IF(L$13=INT($I13),ROUNDUP(ABS(L$13-$J13),0),""))),""))</f>
        <v/>
      </c>
      <c r="M14" s="15" t="str">
        <f t="shared" si="11"/>
        <v/>
      </c>
      <c r="N14" s="15" t="str">
        <f t="shared" si="11"/>
        <v/>
      </c>
      <c r="O14" s="15" t="str">
        <f t="shared" si="11"/>
        <v/>
      </c>
      <c r="P14" s="15" t="str">
        <f t="shared" si="11"/>
        <v/>
      </c>
      <c r="Q14" s="15" t="str">
        <f t="shared" si="11"/>
        <v/>
      </c>
      <c r="R14" s="15" t="str">
        <f t="shared" si="11"/>
        <v/>
      </c>
      <c r="S14" s="15" t="str">
        <f t="shared" si="11"/>
        <v/>
      </c>
      <c r="T14" s="15" t="str">
        <f t="shared" si="11"/>
        <v/>
      </c>
      <c r="U14" s="15" t="str">
        <f t="shared" si="11"/>
        <v/>
      </c>
      <c r="V14" s="15" t="str">
        <f t="shared" si="11"/>
        <v/>
      </c>
      <c r="W14" s="15" t="str">
        <f t="shared" si="11"/>
        <v/>
      </c>
      <c r="X14" s="15" t="str">
        <f t="shared" si="11"/>
        <v/>
      </c>
      <c r="Y14" s="15" t="str">
        <f t="shared" si="11"/>
        <v/>
      </c>
      <c r="Z14" s="15" t="str">
        <f t="shared" si="11"/>
        <v/>
      </c>
      <c r="AA14" s="15" t="str">
        <f t="shared" si="11"/>
        <v/>
      </c>
      <c r="AB14" s="15" t="str">
        <f t="shared" si="11"/>
        <v/>
      </c>
      <c r="AC14" s="15" t="str">
        <f t="shared" si="11"/>
        <v/>
      </c>
      <c r="AD14" s="15" t="str">
        <f t="shared" si="11"/>
        <v/>
      </c>
      <c r="AE14" s="15" t="str">
        <f t="shared" si="11"/>
        <v/>
      </c>
      <c r="AF14" s="15" t="str">
        <f t="shared" si="11"/>
        <v/>
      </c>
      <c r="AG14" s="15" t="str">
        <f t="shared" si="11"/>
        <v/>
      </c>
      <c r="AH14" s="15" t="str">
        <f t="shared" si="11"/>
        <v/>
      </c>
      <c r="AI14" s="15" t="str">
        <f t="shared" si="11"/>
        <v/>
      </c>
      <c r="AJ14" s="15" t="str">
        <f t="shared" si="11"/>
        <v/>
      </c>
      <c r="AK14" s="15" t="str">
        <f t="shared" si="11"/>
        <v/>
      </c>
      <c r="AL14" s="15" t="str">
        <f t="shared" si="11"/>
        <v/>
      </c>
      <c r="AM14" s="15" t="str">
        <f t="shared" si="11"/>
        <v/>
      </c>
      <c r="AN14" s="15" t="str">
        <f t="shared" si="11"/>
        <v/>
      </c>
      <c r="AO14" s="15" t="str">
        <f t="shared" si="11"/>
        <v/>
      </c>
      <c r="AP14" s="15" t="str">
        <f t="shared" si="11"/>
        <v/>
      </c>
      <c r="AQ14" s="15" t="str">
        <f t="shared" si="11"/>
        <v/>
      </c>
      <c r="AR14" s="15" t="str">
        <f t="shared" si="11"/>
        <v/>
      </c>
      <c r="AS14" s="15" t="str">
        <f t="shared" si="11"/>
        <v/>
      </c>
      <c r="AT14" s="15" t="str">
        <f t="shared" si="11"/>
        <v/>
      </c>
      <c r="AU14" s="15" t="str">
        <f t="shared" si="11"/>
        <v/>
      </c>
      <c r="AV14" s="15" t="str">
        <f t="shared" si="11"/>
        <v/>
      </c>
      <c r="AW14" s="15" t="str">
        <f t="shared" si="11"/>
        <v/>
      </c>
      <c r="AX14" s="15" t="str">
        <f t="shared" si="11"/>
        <v/>
      </c>
      <c r="AY14" s="15" t="str">
        <f t="shared" si="11"/>
        <v/>
      </c>
    </row>
    <row r="15" ht="12.0" customHeight="1">
      <c r="A15" s="12">
        <f t="shared" si="1"/>
        <v>1</v>
      </c>
      <c r="B15" s="13">
        <f t="shared" si="2"/>
        <v>2</v>
      </c>
      <c r="C15" s="12">
        <f t="shared" si="3"/>
        <v>0.16</v>
      </c>
      <c r="D15" s="12">
        <f t="shared" si="4"/>
        <v>0.04444444444</v>
      </c>
      <c r="E15" s="12">
        <f t="shared" si="5"/>
        <v>1.004978716</v>
      </c>
      <c r="F15" s="12">
        <f t="shared" si="6"/>
        <v>7.537340368</v>
      </c>
      <c r="G15" s="12">
        <f t="shared" si="7"/>
        <v>1.256223395</v>
      </c>
      <c r="H15" s="12">
        <f t="shared" si="8"/>
        <v>9</v>
      </c>
      <c r="I15" s="12">
        <f t="shared" si="9"/>
        <v>10</v>
      </c>
      <c r="J15" s="12">
        <f t="shared" si="10"/>
        <v>9.5</v>
      </c>
      <c r="L15" s="15" t="str">
        <f t="shared" ref="L15:AY15" si="12">IF(L$13="","",IF(AND(L$13&gt;$H14,L$13&lt;=$I14),IF(AND(MOD($B$6,2)=1,L$13=ROUNDUP($J14,0)),"0",IF(L$13=INT($H14)+1,ROUNDDOWN(ABS(L$13-$J14),0),IF(L$13=INT($I14),ROUNDUP(ABS(L$13-$J14),0),""))),""))</f>
        <v/>
      </c>
      <c r="M15" s="15" t="str">
        <f t="shared" si="12"/>
        <v/>
      </c>
      <c r="N15" s="15" t="str">
        <f t="shared" si="12"/>
        <v/>
      </c>
      <c r="O15" s="15" t="str">
        <f t="shared" si="12"/>
        <v/>
      </c>
      <c r="P15" s="15" t="str">
        <f t="shared" si="12"/>
        <v/>
      </c>
      <c r="Q15" s="15" t="str">
        <f t="shared" si="12"/>
        <v/>
      </c>
      <c r="R15" s="15" t="str">
        <f t="shared" si="12"/>
        <v/>
      </c>
      <c r="S15" s="15" t="str">
        <f t="shared" si="12"/>
        <v/>
      </c>
      <c r="T15" s="15" t="str">
        <f t="shared" si="12"/>
        <v/>
      </c>
      <c r="U15" s="15">
        <f t="shared" si="12"/>
        <v>0</v>
      </c>
      <c r="V15" s="15" t="str">
        <f t="shared" si="12"/>
        <v/>
      </c>
      <c r="W15" s="15" t="str">
        <f t="shared" si="12"/>
        <v/>
      </c>
      <c r="X15" s="15" t="str">
        <f t="shared" si="12"/>
        <v/>
      </c>
      <c r="Y15" s="15" t="str">
        <f t="shared" si="12"/>
        <v/>
      </c>
      <c r="Z15" s="15" t="str">
        <f t="shared" si="12"/>
        <v/>
      </c>
      <c r="AA15" s="15" t="str">
        <f t="shared" si="12"/>
        <v/>
      </c>
      <c r="AB15" s="15" t="str">
        <f t="shared" si="12"/>
        <v/>
      </c>
      <c r="AC15" s="15" t="str">
        <f t="shared" si="12"/>
        <v/>
      </c>
      <c r="AD15" s="15" t="str">
        <f t="shared" si="12"/>
        <v/>
      </c>
      <c r="AE15" s="15" t="str">
        <f t="shared" si="12"/>
        <v/>
      </c>
      <c r="AF15" s="15" t="str">
        <f t="shared" si="12"/>
        <v/>
      </c>
      <c r="AG15" s="15" t="str">
        <f t="shared" si="12"/>
        <v/>
      </c>
      <c r="AH15" s="15" t="str">
        <f t="shared" si="12"/>
        <v/>
      </c>
      <c r="AI15" s="15" t="str">
        <f t="shared" si="12"/>
        <v/>
      </c>
      <c r="AJ15" s="15" t="str">
        <f t="shared" si="12"/>
        <v/>
      </c>
      <c r="AK15" s="15" t="str">
        <f t="shared" si="12"/>
        <v/>
      </c>
      <c r="AL15" s="15" t="str">
        <f t="shared" si="12"/>
        <v/>
      </c>
      <c r="AM15" s="15" t="str">
        <f t="shared" si="12"/>
        <v/>
      </c>
      <c r="AN15" s="15" t="str">
        <f t="shared" si="12"/>
        <v/>
      </c>
      <c r="AO15" s="15" t="str">
        <f t="shared" si="12"/>
        <v/>
      </c>
      <c r="AP15" s="15" t="str">
        <f t="shared" si="12"/>
        <v/>
      </c>
      <c r="AQ15" s="15" t="str">
        <f t="shared" si="12"/>
        <v/>
      </c>
      <c r="AR15" s="15" t="str">
        <f t="shared" si="12"/>
        <v/>
      </c>
      <c r="AS15" s="15" t="str">
        <f t="shared" si="12"/>
        <v/>
      </c>
      <c r="AT15" s="15" t="str">
        <f t="shared" si="12"/>
        <v/>
      </c>
      <c r="AU15" s="15" t="str">
        <f t="shared" si="12"/>
        <v/>
      </c>
      <c r="AV15" s="15" t="str">
        <f t="shared" si="12"/>
        <v/>
      </c>
      <c r="AW15" s="15" t="str">
        <f t="shared" si="12"/>
        <v/>
      </c>
      <c r="AX15" s="15" t="str">
        <f t="shared" si="12"/>
        <v/>
      </c>
      <c r="AY15" s="15" t="str">
        <f t="shared" si="12"/>
        <v/>
      </c>
    </row>
    <row r="16" ht="12.0" customHeight="1">
      <c r="A16" s="12">
        <f t="shared" si="1"/>
        <v>2</v>
      </c>
      <c r="B16" s="13">
        <f t="shared" si="2"/>
        <v>3</v>
      </c>
      <c r="C16" s="12">
        <f t="shared" si="3"/>
        <v>0.24</v>
      </c>
      <c r="D16" s="12">
        <f t="shared" si="4"/>
        <v>0.06666666667</v>
      </c>
      <c r="E16" s="12">
        <f t="shared" si="5"/>
        <v>1.506847711</v>
      </c>
      <c r="F16" s="12">
        <f t="shared" si="6"/>
        <v>11.30135783</v>
      </c>
      <c r="G16" s="12">
        <f t="shared" si="7"/>
        <v>1.883559639</v>
      </c>
      <c r="H16" s="12">
        <f t="shared" si="8"/>
        <v>8.5</v>
      </c>
      <c r="I16" s="12">
        <f t="shared" si="9"/>
        <v>10.5</v>
      </c>
      <c r="J16" s="12">
        <f t="shared" si="10"/>
        <v>9.5</v>
      </c>
      <c r="L16" s="15" t="str">
        <f t="shared" ref="L16:AY16" si="13">IF(L$13="","",IF(AND(L$13&gt;$H15,L$13&lt;=$I15),IF(AND(MOD($B$6,2)=1,L$13=ROUNDUP($J15,0)),"0",IF(L$13=INT($H15)+1,ROUNDDOWN(ABS(L$13-$J15),0),IF(L$13=INT($I15),ROUNDUP(ABS(L$13-$J15),0),""))),""))</f>
        <v/>
      </c>
      <c r="M16" s="15" t="str">
        <f t="shared" si="13"/>
        <v/>
      </c>
      <c r="N16" s="15" t="str">
        <f t="shared" si="13"/>
        <v/>
      </c>
      <c r="O16" s="15" t="str">
        <f t="shared" si="13"/>
        <v/>
      </c>
      <c r="P16" s="15" t="str">
        <f t="shared" si="13"/>
        <v/>
      </c>
      <c r="Q16" s="15" t="str">
        <f t="shared" si="13"/>
        <v/>
      </c>
      <c r="R16" s="15" t="str">
        <f t="shared" si="13"/>
        <v/>
      </c>
      <c r="S16" s="15" t="str">
        <f t="shared" si="13"/>
        <v/>
      </c>
      <c r="T16" s="15" t="str">
        <f t="shared" si="13"/>
        <v/>
      </c>
      <c r="U16" s="15">
        <f t="shared" si="13"/>
        <v>0</v>
      </c>
      <c r="V16" s="15" t="str">
        <f t="shared" si="13"/>
        <v/>
      </c>
      <c r="W16" s="15" t="str">
        <f t="shared" si="13"/>
        <v/>
      </c>
      <c r="X16" s="15" t="str">
        <f t="shared" si="13"/>
        <v/>
      </c>
      <c r="Y16" s="15" t="str">
        <f t="shared" si="13"/>
        <v/>
      </c>
      <c r="Z16" s="15" t="str">
        <f t="shared" si="13"/>
        <v/>
      </c>
      <c r="AA16" s="15" t="str">
        <f t="shared" si="13"/>
        <v/>
      </c>
      <c r="AB16" s="15" t="str">
        <f t="shared" si="13"/>
        <v/>
      </c>
      <c r="AC16" s="15" t="str">
        <f t="shared" si="13"/>
        <v/>
      </c>
      <c r="AD16" s="15" t="str">
        <f t="shared" si="13"/>
        <v/>
      </c>
      <c r="AE16" s="15" t="str">
        <f t="shared" si="13"/>
        <v/>
      </c>
      <c r="AF16" s="15" t="str">
        <f t="shared" si="13"/>
        <v/>
      </c>
      <c r="AG16" s="15" t="str">
        <f t="shared" si="13"/>
        <v/>
      </c>
      <c r="AH16" s="15" t="str">
        <f t="shared" si="13"/>
        <v/>
      </c>
      <c r="AI16" s="15" t="str">
        <f t="shared" si="13"/>
        <v/>
      </c>
      <c r="AJ16" s="15" t="str">
        <f t="shared" si="13"/>
        <v/>
      </c>
      <c r="AK16" s="15" t="str">
        <f t="shared" si="13"/>
        <v/>
      </c>
      <c r="AL16" s="15" t="str">
        <f t="shared" si="13"/>
        <v/>
      </c>
      <c r="AM16" s="15" t="str">
        <f t="shared" si="13"/>
        <v/>
      </c>
      <c r="AN16" s="15" t="str">
        <f t="shared" si="13"/>
        <v/>
      </c>
      <c r="AO16" s="15" t="str">
        <f t="shared" si="13"/>
        <v/>
      </c>
      <c r="AP16" s="15" t="str">
        <f t="shared" si="13"/>
        <v/>
      </c>
      <c r="AQ16" s="15" t="str">
        <f t="shared" si="13"/>
        <v/>
      </c>
      <c r="AR16" s="15" t="str">
        <f t="shared" si="13"/>
        <v/>
      </c>
      <c r="AS16" s="15" t="str">
        <f t="shared" si="13"/>
        <v/>
      </c>
      <c r="AT16" s="15" t="str">
        <f t="shared" si="13"/>
        <v/>
      </c>
      <c r="AU16" s="15" t="str">
        <f t="shared" si="13"/>
        <v/>
      </c>
      <c r="AV16" s="15" t="str">
        <f t="shared" si="13"/>
        <v/>
      </c>
      <c r="AW16" s="15" t="str">
        <f t="shared" si="13"/>
        <v/>
      </c>
      <c r="AX16" s="15" t="str">
        <f t="shared" si="13"/>
        <v/>
      </c>
      <c r="AY16" s="15" t="str">
        <f t="shared" si="13"/>
        <v/>
      </c>
    </row>
    <row r="17" ht="12.0" customHeight="1">
      <c r="A17" s="12">
        <f t="shared" si="1"/>
        <v>3</v>
      </c>
      <c r="B17" s="13">
        <f t="shared" si="2"/>
        <v>4</v>
      </c>
      <c r="C17" s="12">
        <f t="shared" si="3"/>
        <v>0.32</v>
      </c>
      <c r="D17" s="12">
        <f t="shared" si="4"/>
        <v>0.08888888889</v>
      </c>
      <c r="E17" s="12">
        <f t="shared" si="5"/>
        <v>2.007972615</v>
      </c>
      <c r="F17" s="12">
        <f t="shared" si="6"/>
        <v>15.05979461</v>
      </c>
      <c r="G17" s="12">
        <f t="shared" si="7"/>
        <v>2.509965769</v>
      </c>
      <c r="H17" s="12">
        <f t="shared" si="8"/>
        <v>8</v>
      </c>
      <c r="I17" s="12">
        <f t="shared" si="9"/>
        <v>11</v>
      </c>
      <c r="J17" s="12">
        <f t="shared" si="10"/>
        <v>9.5</v>
      </c>
      <c r="L17" s="15" t="str">
        <f t="shared" ref="L17:AY17" si="14">IF(L$13="","",IF(AND(L$13&gt;$H16,L$13&lt;=$I16),IF(AND(MOD($B$6,2)=1,L$13=ROUNDUP($J16,0)),"0",IF(L$13=INT($H16)+1,ROUNDDOWN(ABS(L$13-$J16),0),IF(L$13=INT($I16),ROUNDUP(ABS(L$13-$J16),0),""))),""))</f>
        <v/>
      </c>
      <c r="M17" s="15" t="str">
        <f t="shared" si="14"/>
        <v/>
      </c>
      <c r="N17" s="15" t="str">
        <f t="shared" si="14"/>
        <v/>
      </c>
      <c r="O17" s="15" t="str">
        <f t="shared" si="14"/>
        <v/>
      </c>
      <c r="P17" s="15" t="str">
        <f t="shared" si="14"/>
        <v/>
      </c>
      <c r="Q17" s="15" t="str">
        <f t="shared" si="14"/>
        <v/>
      </c>
      <c r="R17" s="15" t="str">
        <f t="shared" si="14"/>
        <v/>
      </c>
      <c r="S17" s="15" t="str">
        <f t="shared" si="14"/>
        <v/>
      </c>
      <c r="T17" s="15">
        <f t="shared" si="14"/>
        <v>0</v>
      </c>
      <c r="U17" s="15">
        <f t="shared" si="14"/>
        <v>1</v>
      </c>
      <c r="V17" s="15" t="str">
        <f t="shared" si="14"/>
        <v/>
      </c>
      <c r="W17" s="15" t="str">
        <f t="shared" si="14"/>
        <v/>
      </c>
      <c r="X17" s="15" t="str">
        <f t="shared" si="14"/>
        <v/>
      </c>
      <c r="Y17" s="15" t="str">
        <f t="shared" si="14"/>
        <v/>
      </c>
      <c r="Z17" s="15" t="str">
        <f t="shared" si="14"/>
        <v/>
      </c>
      <c r="AA17" s="15" t="str">
        <f t="shared" si="14"/>
        <v/>
      </c>
      <c r="AB17" s="15" t="str">
        <f t="shared" si="14"/>
        <v/>
      </c>
      <c r="AC17" s="15" t="str">
        <f t="shared" si="14"/>
        <v/>
      </c>
      <c r="AD17" s="15" t="str">
        <f t="shared" si="14"/>
        <v/>
      </c>
      <c r="AE17" s="15" t="str">
        <f t="shared" si="14"/>
        <v/>
      </c>
      <c r="AF17" s="15" t="str">
        <f t="shared" si="14"/>
        <v/>
      </c>
      <c r="AG17" s="15" t="str">
        <f t="shared" si="14"/>
        <v/>
      </c>
      <c r="AH17" s="15" t="str">
        <f t="shared" si="14"/>
        <v/>
      </c>
      <c r="AI17" s="15" t="str">
        <f t="shared" si="14"/>
        <v/>
      </c>
      <c r="AJ17" s="15" t="str">
        <f t="shared" si="14"/>
        <v/>
      </c>
      <c r="AK17" s="15" t="str">
        <f t="shared" si="14"/>
        <v/>
      </c>
      <c r="AL17" s="15" t="str">
        <f t="shared" si="14"/>
        <v/>
      </c>
      <c r="AM17" s="15" t="str">
        <f t="shared" si="14"/>
        <v/>
      </c>
      <c r="AN17" s="15" t="str">
        <f t="shared" si="14"/>
        <v/>
      </c>
      <c r="AO17" s="15" t="str">
        <f t="shared" si="14"/>
        <v/>
      </c>
      <c r="AP17" s="15" t="str">
        <f t="shared" si="14"/>
        <v/>
      </c>
      <c r="AQ17" s="15" t="str">
        <f t="shared" si="14"/>
        <v/>
      </c>
      <c r="AR17" s="15" t="str">
        <f t="shared" si="14"/>
        <v/>
      </c>
      <c r="AS17" s="15" t="str">
        <f t="shared" si="14"/>
        <v/>
      </c>
      <c r="AT17" s="15" t="str">
        <f t="shared" si="14"/>
        <v/>
      </c>
      <c r="AU17" s="15" t="str">
        <f t="shared" si="14"/>
        <v/>
      </c>
      <c r="AV17" s="15" t="str">
        <f t="shared" si="14"/>
        <v/>
      </c>
      <c r="AW17" s="15" t="str">
        <f t="shared" si="14"/>
        <v/>
      </c>
      <c r="AX17" s="15" t="str">
        <f t="shared" si="14"/>
        <v/>
      </c>
      <c r="AY17" s="15" t="str">
        <f t="shared" si="14"/>
        <v/>
      </c>
    </row>
    <row r="18" ht="12.0" customHeight="1">
      <c r="A18" s="12">
        <f t="shared" si="1"/>
        <v>3</v>
      </c>
      <c r="B18" s="13">
        <f t="shared" si="2"/>
        <v>5</v>
      </c>
      <c r="C18" s="12">
        <f t="shared" si="3"/>
        <v>0.4</v>
      </c>
      <c r="D18" s="12">
        <f t="shared" si="4"/>
        <v>0.1111111111</v>
      </c>
      <c r="E18" s="12">
        <f t="shared" si="5"/>
        <v>2.508105968</v>
      </c>
      <c r="F18" s="12">
        <f t="shared" si="6"/>
        <v>18.81079476</v>
      </c>
      <c r="G18" s="12">
        <f t="shared" si="7"/>
        <v>3.13513246</v>
      </c>
      <c r="H18" s="12">
        <f t="shared" si="8"/>
        <v>8</v>
      </c>
      <c r="I18" s="12">
        <f t="shared" si="9"/>
        <v>11</v>
      </c>
      <c r="J18" s="12">
        <f t="shared" si="10"/>
        <v>9.5</v>
      </c>
      <c r="L18" s="15" t="str">
        <f t="shared" ref="L18:AY18" si="15">IF(L$13="","",IF(AND(L$13&gt;$H17,L$13&lt;=$I17),IF(AND(MOD($B$6,2)=1,L$13=ROUNDUP($J17,0)),"0",IF(L$13=INT($H17)+1,ROUNDDOWN(ABS(L$13-$J17),0),IF(L$13=INT($I17),ROUNDUP(ABS(L$13-$J17),0),""))),""))</f>
        <v/>
      </c>
      <c r="M18" s="15" t="str">
        <f t="shared" si="15"/>
        <v/>
      </c>
      <c r="N18" s="15" t="str">
        <f t="shared" si="15"/>
        <v/>
      </c>
      <c r="O18" s="15" t="str">
        <f t="shared" si="15"/>
        <v/>
      </c>
      <c r="P18" s="15" t="str">
        <f t="shared" si="15"/>
        <v/>
      </c>
      <c r="Q18" s="15" t="str">
        <f t="shared" si="15"/>
        <v/>
      </c>
      <c r="R18" s="15" t="str">
        <f t="shared" si="15"/>
        <v/>
      </c>
      <c r="S18" s="15" t="str">
        <f t="shared" si="15"/>
        <v/>
      </c>
      <c r="T18" s="15">
        <f t="shared" si="15"/>
        <v>0</v>
      </c>
      <c r="U18" s="15" t="str">
        <f t="shared" si="15"/>
        <v/>
      </c>
      <c r="V18" s="15">
        <f t="shared" si="15"/>
        <v>2</v>
      </c>
      <c r="W18" s="15" t="str">
        <f t="shared" si="15"/>
        <v/>
      </c>
      <c r="X18" s="15" t="str">
        <f t="shared" si="15"/>
        <v/>
      </c>
      <c r="Y18" s="15" t="str">
        <f t="shared" si="15"/>
        <v/>
      </c>
      <c r="Z18" s="15" t="str">
        <f t="shared" si="15"/>
        <v/>
      </c>
      <c r="AA18" s="15" t="str">
        <f t="shared" si="15"/>
        <v/>
      </c>
      <c r="AB18" s="15" t="str">
        <f t="shared" si="15"/>
        <v/>
      </c>
      <c r="AC18" s="15" t="str">
        <f t="shared" si="15"/>
        <v/>
      </c>
      <c r="AD18" s="15" t="str">
        <f t="shared" si="15"/>
        <v/>
      </c>
      <c r="AE18" s="15" t="str">
        <f t="shared" si="15"/>
        <v/>
      </c>
      <c r="AF18" s="15" t="str">
        <f t="shared" si="15"/>
        <v/>
      </c>
      <c r="AG18" s="15" t="str">
        <f t="shared" si="15"/>
        <v/>
      </c>
      <c r="AH18" s="15" t="str">
        <f t="shared" si="15"/>
        <v/>
      </c>
      <c r="AI18" s="15" t="str">
        <f t="shared" si="15"/>
        <v/>
      </c>
      <c r="AJ18" s="15" t="str">
        <f t="shared" si="15"/>
        <v/>
      </c>
      <c r="AK18" s="15" t="str">
        <f t="shared" si="15"/>
        <v/>
      </c>
      <c r="AL18" s="15" t="str">
        <f t="shared" si="15"/>
        <v/>
      </c>
      <c r="AM18" s="15" t="str">
        <f t="shared" si="15"/>
        <v/>
      </c>
      <c r="AN18" s="15" t="str">
        <f t="shared" si="15"/>
        <v/>
      </c>
      <c r="AO18" s="15" t="str">
        <f t="shared" si="15"/>
        <v/>
      </c>
      <c r="AP18" s="15" t="str">
        <f t="shared" si="15"/>
        <v/>
      </c>
      <c r="AQ18" s="15" t="str">
        <f t="shared" si="15"/>
        <v/>
      </c>
      <c r="AR18" s="15" t="str">
        <f t="shared" si="15"/>
        <v/>
      </c>
      <c r="AS18" s="15" t="str">
        <f t="shared" si="15"/>
        <v/>
      </c>
      <c r="AT18" s="15" t="str">
        <f t="shared" si="15"/>
        <v/>
      </c>
      <c r="AU18" s="15" t="str">
        <f t="shared" si="15"/>
        <v/>
      </c>
      <c r="AV18" s="15" t="str">
        <f t="shared" si="15"/>
        <v/>
      </c>
      <c r="AW18" s="15" t="str">
        <f t="shared" si="15"/>
        <v/>
      </c>
      <c r="AX18" s="15" t="str">
        <f t="shared" si="15"/>
        <v/>
      </c>
      <c r="AY18" s="15" t="str">
        <f t="shared" si="15"/>
        <v/>
      </c>
    </row>
    <row r="19" ht="12.0" customHeight="1">
      <c r="A19" s="12">
        <f t="shared" si="1"/>
        <v>4</v>
      </c>
      <c r="B19" s="13">
        <f t="shared" si="2"/>
        <v>6</v>
      </c>
      <c r="C19" s="12">
        <f t="shared" si="3"/>
        <v>0.48</v>
      </c>
      <c r="D19" s="12">
        <f t="shared" si="4"/>
        <v>0.1333333333</v>
      </c>
      <c r="E19" s="12">
        <f t="shared" si="5"/>
        <v>3.007000802</v>
      </c>
      <c r="F19" s="12">
        <f t="shared" si="6"/>
        <v>22.55250601</v>
      </c>
      <c r="G19" s="12">
        <f t="shared" si="7"/>
        <v>3.758751002</v>
      </c>
      <c r="H19" s="12">
        <f t="shared" si="8"/>
        <v>7.5</v>
      </c>
      <c r="I19" s="12">
        <f t="shared" si="9"/>
        <v>11.5</v>
      </c>
      <c r="J19" s="12">
        <f t="shared" si="10"/>
        <v>9.5</v>
      </c>
      <c r="L19" s="15" t="str">
        <f t="shared" ref="L19:AY19" si="16">IF(L$13="","",IF(AND(L$13&gt;$H18,L$13&lt;=$I18),IF(AND(MOD($B$6,2)=1,L$13=ROUNDUP($J18,0)),"0",IF(L$13=INT($H18)+1,ROUNDDOWN(ABS(L$13-$J18),0),IF(L$13=INT($I18),ROUNDUP(ABS(L$13-$J18),0),""))),""))</f>
        <v/>
      </c>
      <c r="M19" s="15" t="str">
        <f t="shared" si="16"/>
        <v/>
      </c>
      <c r="N19" s="15" t="str">
        <f t="shared" si="16"/>
        <v/>
      </c>
      <c r="O19" s="15" t="str">
        <f t="shared" si="16"/>
        <v/>
      </c>
      <c r="P19" s="15" t="str">
        <f t="shared" si="16"/>
        <v/>
      </c>
      <c r="Q19" s="15" t="str">
        <f t="shared" si="16"/>
        <v/>
      </c>
      <c r="R19" s="15" t="str">
        <f t="shared" si="16"/>
        <v/>
      </c>
      <c r="S19" s="15" t="str">
        <f t="shared" si="16"/>
        <v/>
      </c>
      <c r="T19" s="15">
        <f t="shared" si="16"/>
        <v>0</v>
      </c>
      <c r="U19" s="15" t="str">
        <f t="shared" si="16"/>
        <v/>
      </c>
      <c r="V19" s="15">
        <f t="shared" si="16"/>
        <v>2</v>
      </c>
      <c r="W19" s="15" t="str">
        <f t="shared" si="16"/>
        <v/>
      </c>
      <c r="X19" s="15" t="str">
        <f t="shared" si="16"/>
        <v/>
      </c>
      <c r="Y19" s="15" t="str">
        <f t="shared" si="16"/>
        <v/>
      </c>
      <c r="Z19" s="15" t="str">
        <f t="shared" si="16"/>
        <v/>
      </c>
      <c r="AA19" s="15" t="str">
        <f t="shared" si="16"/>
        <v/>
      </c>
      <c r="AB19" s="15" t="str">
        <f t="shared" si="16"/>
        <v/>
      </c>
      <c r="AC19" s="15" t="str">
        <f t="shared" si="16"/>
        <v/>
      </c>
      <c r="AD19" s="15" t="str">
        <f t="shared" si="16"/>
        <v/>
      </c>
      <c r="AE19" s="15" t="str">
        <f t="shared" si="16"/>
        <v/>
      </c>
      <c r="AF19" s="15" t="str">
        <f t="shared" si="16"/>
        <v/>
      </c>
      <c r="AG19" s="15" t="str">
        <f t="shared" si="16"/>
        <v/>
      </c>
      <c r="AH19" s="15" t="str">
        <f t="shared" si="16"/>
        <v/>
      </c>
      <c r="AI19" s="15" t="str">
        <f t="shared" si="16"/>
        <v/>
      </c>
      <c r="AJ19" s="15" t="str">
        <f t="shared" si="16"/>
        <v/>
      </c>
      <c r="AK19" s="15" t="str">
        <f t="shared" si="16"/>
        <v/>
      </c>
      <c r="AL19" s="15" t="str">
        <f t="shared" si="16"/>
        <v/>
      </c>
      <c r="AM19" s="15" t="str">
        <f t="shared" si="16"/>
        <v/>
      </c>
      <c r="AN19" s="15" t="str">
        <f t="shared" si="16"/>
        <v/>
      </c>
      <c r="AO19" s="15" t="str">
        <f t="shared" si="16"/>
        <v/>
      </c>
      <c r="AP19" s="15" t="str">
        <f t="shared" si="16"/>
        <v/>
      </c>
      <c r="AQ19" s="15" t="str">
        <f t="shared" si="16"/>
        <v/>
      </c>
      <c r="AR19" s="15" t="str">
        <f t="shared" si="16"/>
        <v/>
      </c>
      <c r="AS19" s="15" t="str">
        <f t="shared" si="16"/>
        <v/>
      </c>
      <c r="AT19" s="15" t="str">
        <f t="shared" si="16"/>
        <v/>
      </c>
      <c r="AU19" s="15" t="str">
        <f t="shared" si="16"/>
        <v/>
      </c>
      <c r="AV19" s="15" t="str">
        <f t="shared" si="16"/>
        <v/>
      </c>
      <c r="AW19" s="15" t="str">
        <f t="shared" si="16"/>
        <v/>
      </c>
      <c r="AX19" s="15" t="str">
        <f t="shared" si="16"/>
        <v/>
      </c>
      <c r="AY19" s="15" t="str">
        <f t="shared" si="16"/>
        <v/>
      </c>
    </row>
    <row r="20" ht="12.0" customHeight="1">
      <c r="A20" s="12">
        <f t="shared" si="1"/>
        <v>4</v>
      </c>
      <c r="B20" s="13">
        <f t="shared" si="2"/>
        <v>7</v>
      </c>
      <c r="C20" s="12">
        <f t="shared" si="3"/>
        <v>0.56</v>
      </c>
      <c r="D20" s="12">
        <f t="shared" si="4"/>
        <v>0.1555555556</v>
      </c>
      <c r="E20" s="12">
        <f t="shared" si="5"/>
        <v>3.504410757</v>
      </c>
      <c r="F20" s="12">
        <f t="shared" si="6"/>
        <v>26.28308068</v>
      </c>
      <c r="G20" s="12">
        <f t="shared" si="7"/>
        <v>4.380513447</v>
      </c>
      <c r="H20" s="12">
        <f t="shared" si="8"/>
        <v>7.5</v>
      </c>
      <c r="I20" s="12">
        <f t="shared" si="9"/>
        <v>11.5</v>
      </c>
      <c r="J20" s="12">
        <f t="shared" si="10"/>
        <v>9.5</v>
      </c>
      <c r="L20" s="15" t="str">
        <f t="shared" ref="L20:AY20" si="17">IF(L$13="","",IF(AND(L$13&gt;$H19,L$13&lt;=$I19),IF(AND(MOD($B$6,2)=1,L$13=ROUNDUP($J19,0)),"0",IF(L$13=INT($H19)+1,ROUNDDOWN(ABS(L$13-$J19),0),IF(L$13=INT($I19),ROUNDUP(ABS(L$13-$J19),0),""))),""))</f>
        <v/>
      </c>
      <c r="M20" s="15" t="str">
        <f t="shared" si="17"/>
        <v/>
      </c>
      <c r="N20" s="15" t="str">
        <f t="shared" si="17"/>
        <v/>
      </c>
      <c r="O20" s="15" t="str">
        <f t="shared" si="17"/>
        <v/>
      </c>
      <c r="P20" s="15" t="str">
        <f t="shared" si="17"/>
        <v/>
      </c>
      <c r="Q20" s="15" t="str">
        <f t="shared" si="17"/>
        <v/>
      </c>
      <c r="R20" s="15" t="str">
        <f t="shared" si="17"/>
        <v/>
      </c>
      <c r="S20" s="15">
        <f t="shared" si="17"/>
        <v>1</v>
      </c>
      <c r="T20" s="15" t="str">
        <f t="shared" si="17"/>
        <v/>
      </c>
      <c r="U20" s="15" t="str">
        <f t="shared" si="17"/>
        <v/>
      </c>
      <c r="V20" s="15">
        <f t="shared" si="17"/>
        <v>2</v>
      </c>
      <c r="W20" s="15" t="str">
        <f t="shared" si="17"/>
        <v/>
      </c>
      <c r="X20" s="15" t="str">
        <f t="shared" si="17"/>
        <v/>
      </c>
      <c r="Y20" s="15" t="str">
        <f t="shared" si="17"/>
        <v/>
      </c>
      <c r="Z20" s="15" t="str">
        <f t="shared" si="17"/>
        <v/>
      </c>
      <c r="AA20" s="15" t="str">
        <f t="shared" si="17"/>
        <v/>
      </c>
      <c r="AB20" s="15" t="str">
        <f t="shared" si="17"/>
        <v/>
      </c>
      <c r="AC20" s="15" t="str">
        <f t="shared" si="17"/>
        <v/>
      </c>
      <c r="AD20" s="15" t="str">
        <f t="shared" si="17"/>
        <v/>
      </c>
      <c r="AE20" s="15" t="str">
        <f t="shared" si="17"/>
        <v/>
      </c>
      <c r="AF20" s="15" t="str">
        <f t="shared" si="17"/>
        <v/>
      </c>
      <c r="AG20" s="15" t="str">
        <f t="shared" si="17"/>
        <v/>
      </c>
      <c r="AH20" s="15" t="str">
        <f t="shared" si="17"/>
        <v/>
      </c>
      <c r="AI20" s="15" t="str">
        <f t="shared" si="17"/>
        <v/>
      </c>
      <c r="AJ20" s="15" t="str">
        <f t="shared" si="17"/>
        <v/>
      </c>
      <c r="AK20" s="15" t="str">
        <f t="shared" si="17"/>
        <v/>
      </c>
      <c r="AL20" s="15" t="str">
        <f t="shared" si="17"/>
        <v/>
      </c>
      <c r="AM20" s="15" t="str">
        <f t="shared" si="17"/>
        <v/>
      </c>
      <c r="AN20" s="15" t="str">
        <f t="shared" si="17"/>
        <v/>
      </c>
      <c r="AO20" s="15" t="str">
        <f t="shared" si="17"/>
        <v/>
      </c>
      <c r="AP20" s="15" t="str">
        <f t="shared" si="17"/>
        <v/>
      </c>
      <c r="AQ20" s="15" t="str">
        <f t="shared" si="17"/>
        <v/>
      </c>
      <c r="AR20" s="15" t="str">
        <f t="shared" si="17"/>
        <v/>
      </c>
      <c r="AS20" s="15" t="str">
        <f t="shared" si="17"/>
        <v/>
      </c>
      <c r="AT20" s="15" t="str">
        <f t="shared" si="17"/>
        <v/>
      </c>
      <c r="AU20" s="15" t="str">
        <f t="shared" si="17"/>
        <v/>
      </c>
      <c r="AV20" s="15" t="str">
        <f t="shared" si="17"/>
        <v/>
      </c>
      <c r="AW20" s="15" t="str">
        <f t="shared" si="17"/>
        <v/>
      </c>
      <c r="AX20" s="15" t="str">
        <f t="shared" si="17"/>
        <v/>
      </c>
      <c r="AY20" s="15" t="str">
        <f t="shared" si="17"/>
        <v/>
      </c>
    </row>
    <row r="21" ht="12.0" customHeight="1">
      <c r="A21" s="12">
        <f t="shared" si="1"/>
        <v>5</v>
      </c>
      <c r="B21" s="13">
        <f t="shared" si="2"/>
        <v>8</v>
      </c>
      <c r="C21" s="12">
        <f t="shared" si="3"/>
        <v>0.64</v>
      </c>
      <c r="D21" s="12">
        <f t="shared" si="4"/>
        <v>0.1777777778</v>
      </c>
      <c r="E21" s="12">
        <f t="shared" si="5"/>
        <v>4.000090211</v>
      </c>
      <c r="F21" s="12">
        <f t="shared" si="6"/>
        <v>30.00067658</v>
      </c>
      <c r="G21" s="12">
        <f t="shared" si="7"/>
        <v>5.000112764</v>
      </c>
      <c r="H21" s="12">
        <f t="shared" si="8"/>
        <v>7</v>
      </c>
      <c r="I21" s="12">
        <f t="shared" si="9"/>
        <v>12</v>
      </c>
      <c r="J21" s="12">
        <f t="shared" si="10"/>
        <v>9.5</v>
      </c>
      <c r="L21" s="15" t="str">
        <f t="shared" ref="L21:AY21" si="18">IF(L$13="","",IF(AND(L$13&gt;$H20,L$13&lt;=$I20),IF(AND(MOD($B$6,2)=1,L$13=ROUNDUP($J20,0)),"0",IF(L$13=INT($H20)+1,ROUNDDOWN(ABS(L$13-$J20),0),IF(L$13=INT($I20),ROUNDUP(ABS(L$13-$J20),0),""))),""))</f>
        <v/>
      </c>
      <c r="M21" s="15" t="str">
        <f t="shared" si="18"/>
        <v/>
      </c>
      <c r="N21" s="15" t="str">
        <f t="shared" si="18"/>
        <v/>
      </c>
      <c r="O21" s="15" t="str">
        <f t="shared" si="18"/>
        <v/>
      </c>
      <c r="P21" s="15" t="str">
        <f t="shared" si="18"/>
        <v/>
      </c>
      <c r="Q21" s="15" t="str">
        <f t="shared" si="18"/>
        <v/>
      </c>
      <c r="R21" s="15" t="str">
        <f t="shared" si="18"/>
        <v/>
      </c>
      <c r="S21" s="15">
        <f t="shared" si="18"/>
        <v>1</v>
      </c>
      <c r="T21" s="15" t="str">
        <f t="shared" si="18"/>
        <v/>
      </c>
      <c r="U21" s="15" t="str">
        <f t="shared" si="18"/>
        <v/>
      </c>
      <c r="V21" s="15">
        <f t="shared" si="18"/>
        <v>2</v>
      </c>
      <c r="W21" s="15" t="str">
        <f t="shared" si="18"/>
        <v/>
      </c>
      <c r="X21" s="15" t="str">
        <f t="shared" si="18"/>
        <v/>
      </c>
      <c r="Y21" s="15" t="str">
        <f t="shared" si="18"/>
        <v/>
      </c>
      <c r="Z21" s="15" t="str">
        <f t="shared" si="18"/>
        <v/>
      </c>
      <c r="AA21" s="15" t="str">
        <f t="shared" si="18"/>
        <v/>
      </c>
      <c r="AB21" s="15" t="str">
        <f t="shared" si="18"/>
        <v/>
      </c>
      <c r="AC21" s="15" t="str">
        <f t="shared" si="18"/>
        <v/>
      </c>
      <c r="AD21" s="15" t="str">
        <f t="shared" si="18"/>
        <v/>
      </c>
      <c r="AE21" s="15" t="str">
        <f t="shared" si="18"/>
        <v/>
      </c>
      <c r="AF21" s="15" t="str">
        <f t="shared" si="18"/>
        <v/>
      </c>
      <c r="AG21" s="15" t="str">
        <f t="shared" si="18"/>
        <v/>
      </c>
      <c r="AH21" s="15" t="str">
        <f t="shared" si="18"/>
        <v/>
      </c>
      <c r="AI21" s="15" t="str">
        <f t="shared" si="18"/>
        <v/>
      </c>
      <c r="AJ21" s="15" t="str">
        <f t="shared" si="18"/>
        <v/>
      </c>
      <c r="AK21" s="15" t="str">
        <f t="shared" si="18"/>
        <v/>
      </c>
      <c r="AL21" s="15" t="str">
        <f t="shared" si="18"/>
        <v/>
      </c>
      <c r="AM21" s="15" t="str">
        <f t="shared" si="18"/>
        <v/>
      </c>
      <c r="AN21" s="15" t="str">
        <f t="shared" si="18"/>
        <v/>
      </c>
      <c r="AO21" s="15" t="str">
        <f t="shared" si="18"/>
        <v/>
      </c>
      <c r="AP21" s="15" t="str">
        <f t="shared" si="18"/>
        <v/>
      </c>
      <c r="AQ21" s="15" t="str">
        <f t="shared" si="18"/>
        <v/>
      </c>
      <c r="AR21" s="15" t="str">
        <f t="shared" si="18"/>
        <v/>
      </c>
      <c r="AS21" s="15" t="str">
        <f t="shared" si="18"/>
        <v/>
      </c>
      <c r="AT21" s="15" t="str">
        <f t="shared" si="18"/>
        <v/>
      </c>
      <c r="AU21" s="15" t="str">
        <f t="shared" si="18"/>
        <v/>
      </c>
      <c r="AV21" s="15" t="str">
        <f t="shared" si="18"/>
        <v/>
      </c>
      <c r="AW21" s="15" t="str">
        <f t="shared" si="18"/>
        <v/>
      </c>
      <c r="AX21" s="15" t="str">
        <f t="shared" si="18"/>
        <v/>
      </c>
      <c r="AY21" s="15" t="str">
        <f t="shared" si="18"/>
        <v/>
      </c>
    </row>
    <row r="22" ht="12.0" customHeight="1">
      <c r="A22" s="12">
        <f t="shared" si="1"/>
        <v>6</v>
      </c>
      <c r="B22" s="13">
        <f t="shared" si="2"/>
        <v>9</v>
      </c>
      <c r="C22" s="12">
        <f t="shared" si="3"/>
        <v>0.72</v>
      </c>
      <c r="D22" s="12">
        <f t="shared" si="4"/>
        <v>0.2</v>
      </c>
      <c r="E22" s="12">
        <f t="shared" si="5"/>
        <v>4.493794393</v>
      </c>
      <c r="F22" s="12">
        <f t="shared" si="6"/>
        <v>33.70345795</v>
      </c>
      <c r="G22" s="12">
        <f t="shared" si="7"/>
        <v>5.617242991</v>
      </c>
      <c r="H22" s="12">
        <f t="shared" si="8"/>
        <v>6.5</v>
      </c>
      <c r="I22" s="12">
        <f t="shared" si="9"/>
        <v>12.5</v>
      </c>
      <c r="J22" s="12">
        <f t="shared" si="10"/>
        <v>9.5</v>
      </c>
      <c r="L22" s="15" t="str">
        <f t="shared" ref="L22:AY22" si="19">IF(L$13="","",IF(AND(L$13&gt;$H21,L$13&lt;=$I21),IF(AND(MOD($B$6,2)=1,L$13=ROUNDUP($J21,0)),"0",IF(L$13=INT($H21)+1,ROUNDDOWN(ABS(L$13-$J21),0),IF(L$13=INT($I21),ROUNDUP(ABS(L$13-$J21),0),""))),""))</f>
        <v/>
      </c>
      <c r="M22" s="15" t="str">
        <f t="shared" si="19"/>
        <v/>
      </c>
      <c r="N22" s="15" t="str">
        <f t="shared" si="19"/>
        <v/>
      </c>
      <c r="O22" s="15" t="str">
        <f t="shared" si="19"/>
        <v/>
      </c>
      <c r="P22" s="15" t="str">
        <f t="shared" si="19"/>
        <v/>
      </c>
      <c r="Q22" s="15" t="str">
        <f t="shared" si="19"/>
        <v/>
      </c>
      <c r="R22" s="15" t="str">
        <f t="shared" si="19"/>
        <v/>
      </c>
      <c r="S22" s="15">
        <f t="shared" si="19"/>
        <v>1</v>
      </c>
      <c r="T22" s="15" t="str">
        <f t="shared" si="19"/>
        <v/>
      </c>
      <c r="U22" s="15" t="str">
        <f t="shared" si="19"/>
        <v/>
      </c>
      <c r="V22" s="15" t="str">
        <f t="shared" si="19"/>
        <v/>
      </c>
      <c r="W22" s="15">
        <f t="shared" si="19"/>
        <v>3</v>
      </c>
      <c r="X22" s="15" t="str">
        <f t="shared" si="19"/>
        <v/>
      </c>
      <c r="Y22" s="15" t="str">
        <f t="shared" si="19"/>
        <v/>
      </c>
      <c r="Z22" s="15" t="str">
        <f t="shared" si="19"/>
        <v/>
      </c>
      <c r="AA22" s="15" t="str">
        <f t="shared" si="19"/>
        <v/>
      </c>
      <c r="AB22" s="15" t="str">
        <f t="shared" si="19"/>
        <v/>
      </c>
      <c r="AC22" s="15" t="str">
        <f t="shared" si="19"/>
        <v/>
      </c>
      <c r="AD22" s="15" t="str">
        <f t="shared" si="19"/>
        <v/>
      </c>
      <c r="AE22" s="15" t="str">
        <f t="shared" si="19"/>
        <v/>
      </c>
      <c r="AF22" s="15" t="str">
        <f t="shared" si="19"/>
        <v/>
      </c>
      <c r="AG22" s="15" t="str">
        <f t="shared" si="19"/>
        <v/>
      </c>
      <c r="AH22" s="15" t="str">
        <f t="shared" si="19"/>
        <v/>
      </c>
      <c r="AI22" s="15" t="str">
        <f t="shared" si="19"/>
        <v/>
      </c>
      <c r="AJ22" s="15" t="str">
        <f t="shared" si="19"/>
        <v/>
      </c>
      <c r="AK22" s="15" t="str">
        <f t="shared" si="19"/>
        <v/>
      </c>
      <c r="AL22" s="15" t="str">
        <f t="shared" si="19"/>
        <v/>
      </c>
      <c r="AM22" s="15" t="str">
        <f t="shared" si="19"/>
        <v/>
      </c>
      <c r="AN22" s="15" t="str">
        <f t="shared" si="19"/>
        <v/>
      </c>
      <c r="AO22" s="15" t="str">
        <f t="shared" si="19"/>
        <v/>
      </c>
      <c r="AP22" s="15" t="str">
        <f t="shared" si="19"/>
        <v/>
      </c>
      <c r="AQ22" s="15" t="str">
        <f t="shared" si="19"/>
        <v/>
      </c>
      <c r="AR22" s="15" t="str">
        <f t="shared" si="19"/>
        <v/>
      </c>
      <c r="AS22" s="15" t="str">
        <f t="shared" si="19"/>
        <v/>
      </c>
      <c r="AT22" s="15" t="str">
        <f t="shared" si="19"/>
        <v/>
      </c>
      <c r="AU22" s="15" t="str">
        <f t="shared" si="19"/>
        <v/>
      </c>
      <c r="AV22" s="15" t="str">
        <f t="shared" si="19"/>
        <v/>
      </c>
      <c r="AW22" s="15" t="str">
        <f t="shared" si="19"/>
        <v/>
      </c>
      <c r="AX22" s="15" t="str">
        <f t="shared" si="19"/>
        <v/>
      </c>
      <c r="AY22" s="15" t="str">
        <f t="shared" si="19"/>
        <v/>
      </c>
    </row>
    <row r="23" ht="12.0" customHeight="1">
      <c r="A23" s="12">
        <f t="shared" si="1"/>
        <v>6</v>
      </c>
      <c r="B23" s="13">
        <f t="shared" si="2"/>
        <v>10</v>
      </c>
      <c r="C23" s="12">
        <f t="shared" si="3"/>
        <v>0.8</v>
      </c>
      <c r="D23" s="12">
        <f t="shared" si="4"/>
        <v>0.2222222222</v>
      </c>
      <c r="E23" s="12">
        <f t="shared" si="5"/>
        <v>4.985279508</v>
      </c>
      <c r="F23" s="12">
        <f t="shared" si="6"/>
        <v>37.38959631</v>
      </c>
      <c r="G23" s="12">
        <f t="shared" si="7"/>
        <v>6.231599385</v>
      </c>
      <c r="H23" s="12">
        <f t="shared" si="8"/>
        <v>6.5</v>
      </c>
      <c r="I23" s="12">
        <f t="shared" si="9"/>
        <v>12.5</v>
      </c>
      <c r="J23" s="12">
        <f t="shared" si="10"/>
        <v>9.5</v>
      </c>
      <c r="L23" s="15" t="str">
        <f t="shared" ref="L23:AY23" si="20">IF(L$13="","",IF(AND(L$13&gt;$H22,L$13&lt;=$I22),IF(AND(MOD($B$6,2)=1,L$13=ROUNDUP($J22,0)),"0",IF(L$13=INT($H22)+1,ROUNDDOWN(ABS(L$13-$J22),0),IF(L$13=INT($I22),ROUNDUP(ABS(L$13-$J22),0),""))),""))</f>
        <v/>
      </c>
      <c r="M23" s="15" t="str">
        <f t="shared" si="20"/>
        <v/>
      </c>
      <c r="N23" s="15" t="str">
        <f t="shared" si="20"/>
        <v/>
      </c>
      <c r="O23" s="15" t="str">
        <f t="shared" si="20"/>
        <v/>
      </c>
      <c r="P23" s="15" t="str">
        <f t="shared" si="20"/>
        <v/>
      </c>
      <c r="Q23" s="15" t="str">
        <f t="shared" si="20"/>
        <v/>
      </c>
      <c r="R23" s="15">
        <f t="shared" si="20"/>
        <v>2</v>
      </c>
      <c r="S23" s="15" t="str">
        <f t="shared" si="20"/>
        <v/>
      </c>
      <c r="T23" s="15" t="str">
        <f t="shared" si="20"/>
        <v/>
      </c>
      <c r="U23" s="15" t="str">
        <f t="shared" si="20"/>
        <v/>
      </c>
      <c r="V23" s="15" t="str">
        <f t="shared" si="20"/>
        <v/>
      </c>
      <c r="W23" s="15">
        <f t="shared" si="20"/>
        <v>3</v>
      </c>
      <c r="X23" s="15" t="str">
        <f t="shared" si="20"/>
        <v/>
      </c>
      <c r="Y23" s="15" t="str">
        <f t="shared" si="20"/>
        <v/>
      </c>
      <c r="Z23" s="15" t="str">
        <f t="shared" si="20"/>
        <v/>
      </c>
      <c r="AA23" s="15" t="str">
        <f t="shared" si="20"/>
        <v/>
      </c>
      <c r="AB23" s="15" t="str">
        <f t="shared" si="20"/>
        <v/>
      </c>
      <c r="AC23" s="15" t="str">
        <f t="shared" si="20"/>
        <v/>
      </c>
      <c r="AD23" s="15" t="str">
        <f t="shared" si="20"/>
        <v/>
      </c>
      <c r="AE23" s="15" t="str">
        <f t="shared" si="20"/>
        <v/>
      </c>
      <c r="AF23" s="15" t="str">
        <f t="shared" si="20"/>
        <v/>
      </c>
      <c r="AG23" s="15" t="str">
        <f t="shared" si="20"/>
        <v/>
      </c>
      <c r="AH23" s="15" t="str">
        <f t="shared" si="20"/>
        <v/>
      </c>
      <c r="AI23" s="15" t="str">
        <f t="shared" si="20"/>
        <v/>
      </c>
      <c r="AJ23" s="15" t="str">
        <f t="shared" si="20"/>
        <v/>
      </c>
      <c r="AK23" s="15" t="str">
        <f t="shared" si="20"/>
        <v/>
      </c>
      <c r="AL23" s="15" t="str">
        <f t="shared" si="20"/>
        <v/>
      </c>
      <c r="AM23" s="15" t="str">
        <f t="shared" si="20"/>
        <v/>
      </c>
      <c r="AN23" s="15" t="str">
        <f t="shared" si="20"/>
        <v/>
      </c>
      <c r="AO23" s="15" t="str">
        <f t="shared" si="20"/>
        <v/>
      </c>
      <c r="AP23" s="15" t="str">
        <f t="shared" si="20"/>
        <v/>
      </c>
      <c r="AQ23" s="15" t="str">
        <f t="shared" si="20"/>
        <v/>
      </c>
      <c r="AR23" s="15" t="str">
        <f t="shared" si="20"/>
        <v/>
      </c>
      <c r="AS23" s="15" t="str">
        <f t="shared" si="20"/>
        <v/>
      </c>
      <c r="AT23" s="15" t="str">
        <f t="shared" si="20"/>
        <v/>
      </c>
      <c r="AU23" s="15" t="str">
        <f t="shared" si="20"/>
        <v/>
      </c>
      <c r="AV23" s="15" t="str">
        <f t="shared" si="20"/>
        <v/>
      </c>
      <c r="AW23" s="15" t="str">
        <f t="shared" si="20"/>
        <v/>
      </c>
      <c r="AX23" s="15" t="str">
        <f t="shared" si="20"/>
        <v/>
      </c>
      <c r="AY23" s="15" t="str">
        <f t="shared" si="20"/>
        <v/>
      </c>
    </row>
    <row r="24" ht="12.0" customHeight="1">
      <c r="A24" s="12">
        <f t="shared" si="1"/>
        <v>7</v>
      </c>
      <c r="B24" s="13">
        <f t="shared" si="2"/>
        <v>11</v>
      </c>
      <c r="C24" s="12">
        <f t="shared" si="3"/>
        <v>0.88</v>
      </c>
      <c r="D24" s="12">
        <f t="shared" si="4"/>
        <v>0.2444444444</v>
      </c>
      <c r="E24" s="12">
        <f t="shared" si="5"/>
        <v>5.474302859</v>
      </c>
      <c r="F24" s="12">
        <f t="shared" si="6"/>
        <v>41.05727144</v>
      </c>
      <c r="G24" s="12">
        <f t="shared" si="7"/>
        <v>6.842878573</v>
      </c>
      <c r="H24" s="12">
        <f t="shared" si="8"/>
        <v>6</v>
      </c>
      <c r="I24" s="12">
        <f t="shared" si="9"/>
        <v>13</v>
      </c>
      <c r="J24" s="12">
        <f t="shared" si="10"/>
        <v>9.5</v>
      </c>
      <c r="L24" s="15" t="str">
        <f t="shared" ref="L24:AY24" si="21">IF(L$13="","",IF(AND(L$13&gt;$H23,L$13&lt;=$I23),IF(AND(MOD($B$6,2)=1,L$13=ROUNDUP($J23,0)),"0",IF(L$13=INT($H23)+1,ROUNDDOWN(ABS(L$13-$J23),0),IF(L$13=INT($I23),ROUNDUP(ABS(L$13-$J23),0),""))),""))</f>
        <v/>
      </c>
      <c r="M24" s="15" t="str">
        <f t="shared" si="21"/>
        <v/>
      </c>
      <c r="N24" s="15" t="str">
        <f t="shared" si="21"/>
        <v/>
      </c>
      <c r="O24" s="15" t="str">
        <f t="shared" si="21"/>
        <v/>
      </c>
      <c r="P24" s="15" t="str">
        <f t="shared" si="21"/>
        <v/>
      </c>
      <c r="Q24" s="15" t="str">
        <f t="shared" si="21"/>
        <v/>
      </c>
      <c r="R24" s="15">
        <f t="shared" si="21"/>
        <v>2</v>
      </c>
      <c r="S24" s="15" t="str">
        <f t="shared" si="21"/>
        <v/>
      </c>
      <c r="T24" s="15" t="str">
        <f t="shared" si="21"/>
        <v/>
      </c>
      <c r="U24" s="15" t="str">
        <f t="shared" si="21"/>
        <v/>
      </c>
      <c r="V24" s="15" t="str">
        <f t="shared" si="21"/>
        <v/>
      </c>
      <c r="W24" s="15">
        <f t="shared" si="21"/>
        <v>3</v>
      </c>
      <c r="X24" s="15" t="str">
        <f t="shared" si="21"/>
        <v/>
      </c>
      <c r="Y24" s="15" t="str">
        <f t="shared" si="21"/>
        <v/>
      </c>
      <c r="Z24" s="15" t="str">
        <f t="shared" si="21"/>
        <v/>
      </c>
      <c r="AA24" s="15" t="str">
        <f t="shared" si="21"/>
        <v/>
      </c>
      <c r="AB24" s="15" t="str">
        <f t="shared" si="21"/>
        <v/>
      </c>
      <c r="AC24" s="15" t="str">
        <f t="shared" si="21"/>
        <v/>
      </c>
      <c r="AD24" s="15" t="str">
        <f t="shared" si="21"/>
        <v/>
      </c>
      <c r="AE24" s="15" t="str">
        <f t="shared" si="21"/>
        <v/>
      </c>
      <c r="AF24" s="15" t="str">
        <f t="shared" si="21"/>
        <v/>
      </c>
      <c r="AG24" s="15" t="str">
        <f t="shared" si="21"/>
        <v/>
      </c>
      <c r="AH24" s="15" t="str">
        <f t="shared" si="21"/>
        <v/>
      </c>
      <c r="AI24" s="15" t="str">
        <f t="shared" si="21"/>
        <v/>
      </c>
      <c r="AJ24" s="15" t="str">
        <f t="shared" si="21"/>
        <v/>
      </c>
      <c r="AK24" s="15" t="str">
        <f t="shared" si="21"/>
        <v/>
      </c>
      <c r="AL24" s="15" t="str">
        <f t="shared" si="21"/>
        <v/>
      </c>
      <c r="AM24" s="15" t="str">
        <f t="shared" si="21"/>
        <v/>
      </c>
      <c r="AN24" s="15" t="str">
        <f t="shared" si="21"/>
        <v/>
      </c>
      <c r="AO24" s="15" t="str">
        <f t="shared" si="21"/>
        <v/>
      </c>
      <c r="AP24" s="15" t="str">
        <f t="shared" si="21"/>
        <v/>
      </c>
      <c r="AQ24" s="15" t="str">
        <f t="shared" si="21"/>
        <v/>
      </c>
      <c r="AR24" s="15" t="str">
        <f t="shared" si="21"/>
        <v/>
      </c>
      <c r="AS24" s="15" t="str">
        <f t="shared" si="21"/>
        <v/>
      </c>
      <c r="AT24" s="15" t="str">
        <f t="shared" si="21"/>
        <v/>
      </c>
      <c r="AU24" s="15" t="str">
        <f t="shared" si="21"/>
        <v/>
      </c>
      <c r="AV24" s="15" t="str">
        <f t="shared" si="21"/>
        <v/>
      </c>
      <c r="AW24" s="15" t="str">
        <f t="shared" si="21"/>
        <v/>
      </c>
      <c r="AX24" s="15" t="str">
        <f t="shared" si="21"/>
        <v/>
      </c>
      <c r="AY24" s="15" t="str">
        <f t="shared" si="21"/>
        <v/>
      </c>
    </row>
    <row r="25" ht="12.0" customHeight="1">
      <c r="A25" s="12">
        <f t="shared" si="1"/>
        <v>7</v>
      </c>
      <c r="B25" s="13">
        <f t="shared" si="2"/>
        <v>12</v>
      </c>
      <c r="C25" s="12">
        <f t="shared" si="3"/>
        <v>0.96</v>
      </c>
      <c r="D25" s="12">
        <f t="shared" si="4"/>
        <v>0.2666666667</v>
      </c>
      <c r="E25" s="12">
        <f t="shared" si="5"/>
        <v>5.960622961</v>
      </c>
      <c r="F25" s="12">
        <f t="shared" si="6"/>
        <v>44.70467221</v>
      </c>
      <c r="G25" s="12">
        <f t="shared" si="7"/>
        <v>7.450778701</v>
      </c>
      <c r="H25" s="12">
        <f t="shared" si="8"/>
        <v>6</v>
      </c>
      <c r="I25" s="12">
        <f t="shared" si="9"/>
        <v>13</v>
      </c>
      <c r="J25" s="12">
        <f t="shared" si="10"/>
        <v>9.5</v>
      </c>
      <c r="L25" s="15" t="str">
        <f t="shared" ref="L25:AY25" si="22">IF(L$13="","",IF(AND(L$13&gt;$H24,L$13&lt;=$I24),IF(AND(MOD($B$6,2)=1,L$13=ROUNDUP($J24,0)),"0",IF(L$13=INT($H24)+1,ROUNDDOWN(ABS(L$13-$J24),0),IF(L$13=INT($I24),ROUNDUP(ABS(L$13-$J24),0),""))),""))</f>
        <v/>
      </c>
      <c r="M25" s="15" t="str">
        <f t="shared" si="22"/>
        <v/>
      </c>
      <c r="N25" s="15" t="str">
        <f t="shared" si="22"/>
        <v/>
      </c>
      <c r="O25" s="15" t="str">
        <f t="shared" si="22"/>
        <v/>
      </c>
      <c r="P25" s="15" t="str">
        <f t="shared" si="22"/>
        <v/>
      </c>
      <c r="Q25" s="15" t="str">
        <f t="shared" si="22"/>
        <v/>
      </c>
      <c r="R25" s="15">
        <f t="shared" si="22"/>
        <v>2</v>
      </c>
      <c r="S25" s="15" t="str">
        <f t="shared" si="22"/>
        <v/>
      </c>
      <c r="T25" s="15" t="str">
        <f t="shared" si="22"/>
        <v/>
      </c>
      <c r="U25" s="15" t="str">
        <f t="shared" si="22"/>
        <v/>
      </c>
      <c r="V25" s="15" t="str">
        <f t="shared" si="22"/>
        <v/>
      </c>
      <c r="W25" s="15" t="str">
        <f t="shared" si="22"/>
        <v/>
      </c>
      <c r="X25" s="15">
        <f t="shared" si="22"/>
        <v>4</v>
      </c>
      <c r="Y25" s="15" t="str">
        <f t="shared" si="22"/>
        <v/>
      </c>
      <c r="Z25" s="15" t="str">
        <f t="shared" si="22"/>
        <v/>
      </c>
      <c r="AA25" s="15" t="str">
        <f t="shared" si="22"/>
        <v/>
      </c>
      <c r="AB25" s="15" t="str">
        <f t="shared" si="22"/>
        <v/>
      </c>
      <c r="AC25" s="15" t="str">
        <f t="shared" si="22"/>
        <v/>
      </c>
      <c r="AD25" s="15" t="str">
        <f t="shared" si="22"/>
        <v/>
      </c>
      <c r="AE25" s="15" t="str">
        <f t="shared" si="22"/>
        <v/>
      </c>
      <c r="AF25" s="15" t="str">
        <f t="shared" si="22"/>
        <v/>
      </c>
      <c r="AG25" s="15" t="str">
        <f t="shared" si="22"/>
        <v/>
      </c>
      <c r="AH25" s="15" t="str">
        <f t="shared" si="22"/>
        <v/>
      </c>
      <c r="AI25" s="15" t="str">
        <f t="shared" si="22"/>
        <v/>
      </c>
      <c r="AJ25" s="15" t="str">
        <f t="shared" si="22"/>
        <v/>
      </c>
      <c r="AK25" s="15" t="str">
        <f t="shared" si="22"/>
        <v/>
      </c>
      <c r="AL25" s="15" t="str">
        <f t="shared" si="22"/>
        <v/>
      </c>
      <c r="AM25" s="15" t="str">
        <f t="shared" si="22"/>
        <v/>
      </c>
      <c r="AN25" s="15" t="str">
        <f t="shared" si="22"/>
        <v/>
      </c>
      <c r="AO25" s="15" t="str">
        <f t="shared" si="22"/>
        <v/>
      </c>
      <c r="AP25" s="15" t="str">
        <f t="shared" si="22"/>
        <v/>
      </c>
      <c r="AQ25" s="15" t="str">
        <f t="shared" si="22"/>
        <v/>
      </c>
      <c r="AR25" s="15" t="str">
        <f t="shared" si="22"/>
        <v/>
      </c>
      <c r="AS25" s="15" t="str">
        <f t="shared" si="22"/>
        <v/>
      </c>
      <c r="AT25" s="15" t="str">
        <f t="shared" si="22"/>
        <v/>
      </c>
      <c r="AU25" s="15" t="str">
        <f t="shared" si="22"/>
        <v/>
      </c>
      <c r="AV25" s="15" t="str">
        <f t="shared" si="22"/>
        <v/>
      </c>
      <c r="AW25" s="15" t="str">
        <f t="shared" si="22"/>
        <v/>
      </c>
      <c r="AX25" s="15" t="str">
        <f t="shared" si="22"/>
        <v/>
      </c>
      <c r="AY25" s="15" t="str">
        <f t="shared" si="22"/>
        <v/>
      </c>
    </row>
    <row r="26" ht="12.0" customHeight="1">
      <c r="A26" s="12">
        <f t="shared" si="1"/>
        <v>8</v>
      </c>
      <c r="B26" s="13">
        <f t="shared" si="2"/>
        <v>13</v>
      </c>
      <c r="C26" s="12">
        <f t="shared" si="3"/>
        <v>1.04</v>
      </c>
      <c r="D26" s="12">
        <f t="shared" si="4"/>
        <v>0.2888888889</v>
      </c>
      <c r="E26" s="12">
        <f t="shared" si="5"/>
        <v>6.443999667</v>
      </c>
      <c r="F26" s="12">
        <f t="shared" si="6"/>
        <v>48.3299975</v>
      </c>
      <c r="G26" s="12">
        <f t="shared" si="7"/>
        <v>8.054999583</v>
      </c>
      <c r="H26" s="12">
        <f t="shared" si="8"/>
        <v>5.5</v>
      </c>
      <c r="I26" s="12">
        <f t="shared" si="9"/>
        <v>13.5</v>
      </c>
      <c r="J26" s="12">
        <f t="shared" si="10"/>
        <v>9.5</v>
      </c>
      <c r="L26" s="15" t="str">
        <f t="shared" ref="L26:AY26" si="23">IF(L$13="","",IF(AND(L$13&gt;$H25,L$13&lt;=$I25),IF(AND(MOD($B$6,2)=1,L$13=ROUNDUP($J25,0)),"0",IF(L$13=INT($H25)+1,ROUNDDOWN(ABS(L$13-$J25),0),IF(L$13=INT($I25),ROUNDUP(ABS(L$13-$J25),0),""))),""))</f>
        <v/>
      </c>
      <c r="M26" s="15" t="str">
        <f t="shared" si="23"/>
        <v/>
      </c>
      <c r="N26" s="15" t="str">
        <f t="shared" si="23"/>
        <v/>
      </c>
      <c r="O26" s="15" t="str">
        <f t="shared" si="23"/>
        <v/>
      </c>
      <c r="P26" s="15" t="str">
        <f t="shared" si="23"/>
        <v/>
      </c>
      <c r="Q26" s="15" t="str">
        <f t="shared" si="23"/>
        <v/>
      </c>
      <c r="R26" s="15">
        <f t="shared" si="23"/>
        <v>2</v>
      </c>
      <c r="S26" s="15" t="str">
        <f t="shared" si="23"/>
        <v/>
      </c>
      <c r="T26" s="15" t="str">
        <f t="shared" si="23"/>
        <v/>
      </c>
      <c r="U26" s="15" t="str">
        <f t="shared" si="23"/>
        <v/>
      </c>
      <c r="V26" s="15" t="str">
        <f t="shared" si="23"/>
        <v/>
      </c>
      <c r="W26" s="15" t="str">
        <f t="shared" si="23"/>
        <v/>
      </c>
      <c r="X26" s="15">
        <f t="shared" si="23"/>
        <v>4</v>
      </c>
      <c r="Y26" s="15" t="str">
        <f t="shared" si="23"/>
        <v/>
      </c>
      <c r="Z26" s="15" t="str">
        <f t="shared" si="23"/>
        <v/>
      </c>
      <c r="AA26" s="15" t="str">
        <f t="shared" si="23"/>
        <v/>
      </c>
      <c r="AB26" s="15" t="str">
        <f t="shared" si="23"/>
        <v/>
      </c>
      <c r="AC26" s="15" t="str">
        <f t="shared" si="23"/>
        <v/>
      </c>
      <c r="AD26" s="15" t="str">
        <f t="shared" si="23"/>
        <v/>
      </c>
      <c r="AE26" s="15" t="str">
        <f t="shared" si="23"/>
        <v/>
      </c>
      <c r="AF26" s="15" t="str">
        <f t="shared" si="23"/>
        <v/>
      </c>
      <c r="AG26" s="15" t="str">
        <f t="shared" si="23"/>
        <v/>
      </c>
      <c r="AH26" s="15" t="str">
        <f t="shared" si="23"/>
        <v/>
      </c>
      <c r="AI26" s="15" t="str">
        <f t="shared" si="23"/>
        <v/>
      </c>
      <c r="AJ26" s="15" t="str">
        <f t="shared" si="23"/>
        <v/>
      </c>
      <c r="AK26" s="15" t="str">
        <f t="shared" si="23"/>
        <v/>
      </c>
      <c r="AL26" s="15" t="str">
        <f t="shared" si="23"/>
        <v/>
      </c>
      <c r="AM26" s="15" t="str">
        <f t="shared" si="23"/>
        <v/>
      </c>
      <c r="AN26" s="15" t="str">
        <f t="shared" si="23"/>
        <v/>
      </c>
      <c r="AO26" s="15" t="str">
        <f t="shared" si="23"/>
        <v/>
      </c>
      <c r="AP26" s="15" t="str">
        <f t="shared" si="23"/>
        <v/>
      </c>
      <c r="AQ26" s="15" t="str">
        <f t="shared" si="23"/>
        <v/>
      </c>
      <c r="AR26" s="15" t="str">
        <f t="shared" si="23"/>
        <v/>
      </c>
      <c r="AS26" s="15" t="str">
        <f t="shared" si="23"/>
        <v/>
      </c>
      <c r="AT26" s="15" t="str">
        <f t="shared" si="23"/>
        <v/>
      </c>
      <c r="AU26" s="15" t="str">
        <f t="shared" si="23"/>
        <v/>
      </c>
      <c r="AV26" s="15" t="str">
        <f t="shared" si="23"/>
        <v/>
      </c>
      <c r="AW26" s="15" t="str">
        <f t="shared" si="23"/>
        <v/>
      </c>
      <c r="AX26" s="15" t="str">
        <f t="shared" si="23"/>
        <v/>
      </c>
      <c r="AY26" s="15" t="str">
        <f t="shared" si="23"/>
        <v/>
      </c>
    </row>
    <row r="27" ht="12.0" customHeight="1">
      <c r="A27" s="12">
        <f t="shared" si="1"/>
        <v>9</v>
      </c>
      <c r="B27" s="13">
        <f t="shared" si="2"/>
        <v>14</v>
      </c>
      <c r="C27" s="12">
        <f t="shared" si="3"/>
        <v>1.12</v>
      </c>
      <c r="D27" s="12">
        <f t="shared" si="4"/>
        <v>0.3111111111</v>
      </c>
      <c r="E27" s="12">
        <f t="shared" si="5"/>
        <v>6.924194281</v>
      </c>
      <c r="F27" s="12">
        <f t="shared" si="6"/>
        <v>51.93145711</v>
      </c>
      <c r="G27" s="12">
        <f t="shared" si="7"/>
        <v>8.655242852</v>
      </c>
      <c r="H27" s="12">
        <f t="shared" si="8"/>
        <v>5</v>
      </c>
      <c r="I27" s="12">
        <f t="shared" si="9"/>
        <v>14</v>
      </c>
      <c r="J27" s="12">
        <f t="shared" si="10"/>
        <v>9.5</v>
      </c>
      <c r="L27" s="15" t="str">
        <f t="shared" ref="L27:AY27" si="24">IF(L$13="","",IF(AND(L$13&gt;$H26,L$13&lt;=$I26),IF(AND(MOD($B$6,2)=1,L$13=ROUNDUP($J26,0)),"0",IF(L$13=INT($H26)+1,ROUNDDOWN(ABS(L$13-$J26),0),IF(L$13=INT($I26),ROUNDUP(ABS(L$13-$J26),0),""))),""))</f>
        <v/>
      </c>
      <c r="M27" s="15" t="str">
        <f t="shared" si="24"/>
        <v/>
      </c>
      <c r="N27" s="15" t="str">
        <f t="shared" si="24"/>
        <v/>
      </c>
      <c r="O27" s="15" t="str">
        <f t="shared" si="24"/>
        <v/>
      </c>
      <c r="P27" s="15" t="str">
        <f t="shared" si="24"/>
        <v/>
      </c>
      <c r="Q27" s="15">
        <f t="shared" si="24"/>
        <v>3</v>
      </c>
      <c r="R27" s="15" t="str">
        <f t="shared" si="24"/>
        <v/>
      </c>
      <c r="S27" s="15" t="str">
        <f t="shared" si="24"/>
        <v/>
      </c>
      <c r="T27" s="15" t="str">
        <f t="shared" si="24"/>
        <v/>
      </c>
      <c r="U27" s="15" t="str">
        <f t="shared" si="24"/>
        <v/>
      </c>
      <c r="V27" s="15" t="str">
        <f t="shared" si="24"/>
        <v/>
      </c>
      <c r="W27" s="15" t="str">
        <f t="shared" si="24"/>
        <v/>
      </c>
      <c r="X27" s="15">
        <f t="shared" si="24"/>
        <v>4</v>
      </c>
      <c r="Y27" s="15" t="str">
        <f t="shared" si="24"/>
        <v/>
      </c>
      <c r="Z27" s="15" t="str">
        <f t="shared" si="24"/>
        <v/>
      </c>
      <c r="AA27" s="15" t="str">
        <f t="shared" si="24"/>
        <v/>
      </c>
      <c r="AB27" s="15" t="str">
        <f t="shared" si="24"/>
        <v/>
      </c>
      <c r="AC27" s="15" t="str">
        <f t="shared" si="24"/>
        <v/>
      </c>
      <c r="AD27" s="15" t="str">
        <f t="shared" si="24"/>
        <v/>
      </c>
      <c r="AE27" s="15" t="str">
        <f t="shared" si="24"/>
        <v/>
      </c>
      <c r="AF27" s="15" t="str">
        <f t="shared" si="24"/>
        <v/>
      </c>
      <c r="AG27" s="15" t="str">
        <f t="shared" si="24"/>
        <v/>
      </c>
      <c r="AH27" s="15" t="str">
        <f t="shared" si="24"/>
        <v/>
      </c>
      <c r="AI27" s="15" t="str">
        <f t="shared" si="24"/>
        <v/>
      </c>
      <c r="AJ27" s="15" t="str">
        <f t="shared" si="24"/>
        <v/>
      </c>
      <c r="AK27" s="15" t="str">
        <f t="shared" si="24"/>
        <v/>
      </c>
      <c r="AL27" s="15" t="str">
        <f t="shared" si="24"/>
        <v/>
      </c>
      <c r="AM27" s="15" t="str">
        <f t="shared" si="24"/>
        <v/>
      </c>
      <c r="AN27" s="15" t="str">
        <f t="shared" si="24"/>
        <v/>
      </c>
      <c r="AO27" s="15" t="str">
        <f t="shared" si="24"/>
        <v/>
      </c>
      <c r="AP27" s="15" t="str">
        <f t="shared" si="24"/>
        <v/>
      </c>
      <c r="AQ27" s="15" t="str">
        <f t="shared" si="24"/>
        <v/>
      </c>
      <c r="AR27" s="15" t="str">
        <f t="shared" si="24"/>
        <v/>
      </c>
      <c r="AS27" s="15" t="str">
        <f t="shared" si="24"/>
        <v/>
      </c>
      <c r="AT27" s="15" t="str">
        <f t="shared" si="24"/>
        <v/>
      </c>
      <c r="AU27" s="15" t="str">
        <f t="shared" si="24"/>
        <v/>
      </c>
      <c r="AV27" s="15" t="str">
        <f t="shared" si="24"/>
        <v/>
      </c>
      <c r="AW27" s="15" t="str">
        <f t="shared" si="24"/>
        <v/>
      </c>
      <c r="AX27" s="15" t="str">
        <f t="shared" si="24"/>
        <v/>
      </c>
      <c r="AY27" s="15" t="str">
        <f t="shared" si="24"/>
        <v/>
      </c>
    </row>
    <row r="28" ht="12.0" customHeight="1">
      <c r="A28" s="12">
        <f t="shared" si="1"/>
        <v>9</v>
      </c>
      <c r="B28" s="13">
        <f t="shared" si="2"/>
        <v>15</v>
      </c>
      <c r="C28" s="12">
        <f t="shared" si="3"/>
        <v>1.2</v>
      </c>
      <c r="D28" s="12">
        <f t="shared" si="4"/>
        <v>0.3333333333</v>
      </c>
      <c r="E28" s="12">
        <f t="shared" si="5"/>
        <v>7.400969681</v>
      </c>
      <c r="F28" s="12">
        <f t="shared" si="6"/>
        <v>55.50727261</v>
      </c>
      <c r="G28" s="12">
        <f t="shared" si="7"/>
        <v>9.251212102</v>
      </c>
      <c r="H28" s="12">
        <f t="shared" si="8"/>
        <v>5</v>
      </c>
      <c r="I28" s="12">
        <f t="shared" si="9"/>
        <v>14</v>
      </c>
      <c r="J28" s="12">
        <f t="shared" si="10"/>
        <v>9.5</v>
      </c>
      <c r="L28" s="15" t="str">
        <f t="shared" ref="L28:AY28" si="25">IF(L$13="","",IF(AND(L$13&gt;$H27,L$13&lt;=$I27),IF(AND(MOD($B$6,2)=1,L$13=ROUNDUP($J27,0)),"0",IF(L$13=INT($H27)+1,ROUNDDOWN(ABS(L$13-$J27),0),IF(L$13=INT($I27),ROUNDUP(ABS(L$13-$J27),0),""))),""))</f>
        <v/>
      </c>
      <c r="M28" s="15" t="str">
        <f t="shared" si="25"/>
        <v/>
      </c>
      <c r="N28" s="15" t="str">
        <f t="shared" si="25"/>
        <v/>
      </c>
      <c r="O28" s="15" t="str">
        <f t="shared" si="25"/>
        <v/>
      </c>
      <c r="P28" s="15" t="str">
        <f t="shared" si="25"/>
        <v/>
      </c>
      <c r="Q28" s="15">
        <f t="shared" si="25"/>
        <v>3</v>
      </c>
      <c r="R28" s="15" t="str">
        <f t="shared" si="25"/>
        <v/>
      </c>
      <c r="S28" s="15" t="str">
        <f t="shared" si="25"/>
        <v/>
      </c>
      <c r="T28" s="15" t="str">
        <f t="shared" si="25"/>
        <v/>
      </c>
      <c r="U28" s="15" t="str">
        <f t="shared" si="25"/>
        <v/>
      </c>
      <c r="V28" s="15" t="str">
        <f t="shared" si="25"/>
        <v/>
      </c>
      <c r="W28" s="15" t="str">
        <f t="shared" si="25"/>
        <v/>
      </c>
      <c r="X28" s="15" t="str">
        <f t="shared" si="25"/>
        <v/>
      </c>
      <c r="Y28" s="15">
        <f t="shared" si="25"/>
        <v>5</v>
      </c>
      <c r="Z28" s="15" t="str">
        <f t="shared" si="25"/>
        <v/>
      </c>
      <c r="AA28" s="15" t="str">
        <f t="shared" si="25"/>
        <v/>
      </c>
      <c r="AB28" s="15" t="str">
        <f t="shared" si="25"/>
        <v/>
      </c>
      <c r="AC28" s="15" t="str">
        <f t="shared" si="25"/>
        <v/>
      </c>
      <c r="AD28" s="15" t="str">
        <f t="shared" si="25"/>
        <v/>
      </c>
      <c r="AE28" s="15" t="str">
        <f t="shared" si="25"/>
        <v/>
      </c>
      <c r="AF28" s="15" t="str">
        <f t="shared" si="25"/>
        <v/>
      </c>
      <c r="AG28" s="15" t="str">
        <f t="shared" si="25"/>
        <v/>
      </c>
      <c r="AH28" s="15" t="str">
        <f t="shared" si="25"/>
        <v/>
      </c>
      <c r="AI28" s="15" t="str">
        <f t="shared" si="25"/>
        <v/>
      </c>
      <c r="AJ28" s="15" t="str">
        <f t="shared" si="25"/>
        <v/>
      </c>
      <c r="AK28" s="15" t="str">
        <f t="shared" si="25"/>
        <v/>
      </c>
      <c r="AL28" s="15" t="str">
        <f t="shared" si="25"/>
        <v/>
      </c>
      <c r="AM28" s="15" t="str">
        <f t="shared" si="25"/>
        <v/>
      </c>
      <c r="AN28" s="15" t="str">
        <f t="shared" si="25"/>
        <v/>
      </c>
      <c r="AO28" s="15" t="str">
        <f t="shared" si="25"/>
        <v/>
      </c>
      <c r="AP28" s="15" t="str">
        <f t="shared" si="25"/>
        <v/>
      </c>
      <c r="AQ28" s="15" t="str">
        <f t="shared" si="25"/>
        <v/>
      </c>
      <c r="AR28" s="15" t="str">
        <f t="shared" si="25"/>
        <v/>
      </c>
      <c r="AS28" s="15" t="str">
        <f t="shared" si="25"/>
        <v/>
      </c>
      <c r="AT28" s="15" t="str">
        <f t="shared" si="25"/>
        <v/>
      </c>
      <c r="AU28" s="15" t="str">
        <f t="shared" si="25"/>
        <v/>
      </c>
      <c r="AV28" s="15" t="str">
        <f t="shared" si="25"/>
        <v/>
      </c>
      <c r="AW28" s="15" t="str">
        <f t="shared" si="25"/>
        <v/>
      </c>
      <c r="AX28" s="15" t="str">
        <f t="shared" si="25"/>
        <v/>
      </c>
      <c r="AY28" s="15" t="str">
        <f t="shared" si="25"/>
        <v/>
      </c>
    </row>
    <row r="29" ht="12.0" customHeight="1">
      <c r="A29" s="12">
        <f t="shared" si="1"/>
        <v>10</v>
      </c>
      <c r="B29" s="13">
        <f t="shared" si="2"/>
        <v>16</v>
      </c>
      <c r="C29" s="12">
        <f t="shared" si="3"/>
        <v>1.28</v>
      </c>
      <c r="D29" s="12">
        <f t="shared" si="4"/>
        <v>0.3555555556</v>
      </c>
      <c r="E29" s="12">
        <f t="shared" si="5"/>
        <v>7.874090432</v>
      </c>
      <c r="F29" s="12">
        <f t="shared" si="6"/>
        <v>59.05567824</v>
      </c>
      <c r="G29" s="12">
        <f t="shared" si="7"/>
        <v>9.84261304</v>
      </c>
      <c r="H29" s="12">
        <f t="shared" si="8"/>
        <v>4.5</v>
      </c>
      <c r="I29" s="12">
        <f t="shared" si="9"/>
        <v>14.5</v>
      </c>
      <c r="J29" s="12">
        <f t="shared" si="10"/>
        <v>9.5</v>
      </c>
      <c r="L29" s="15" t="str">
        <f t="shared" ref="L29:AY29" si="26">IF(L$13="","",IF(AND(L$13&gt;$H28,L$13&lt;=$I28),IF(AND(MOD($B$6,2)=1,L$13=ROUNDUP($J28,0)),"0",IF(L$13=INT($H28)+1,ROUNDDOWN(ABS(L$13-$J28),0),IF(L$13=INT($I28),ROUNDUP(ABS(L$13-$J28),0),""))),""))</f>
        <v/>
      </c>
      <c r="M29" s="15" t="str">
        <f t="shared" si="26"/>
        <v/>
      </c>
      <c r="N29" s="15" t="str">
        <f t="shared" si="26"/>
        <v/>
      </c>
      <c r="O29" s="15" t="str">
        <f t="shared" si="26"/>
        <v/>
      </c>
      <c r="P29" s="15" t="str">
        <f t="shared" si="26"/>
        <v/>
      </c>
      <c r="Q29" s="15">
        <f t="shared" si="26"/>
        <v>3</v>
      </c>
      <c r="R29" s="15" t="str">
        <f t="shared" si="26"/>
        <v/>
      </c>
      <c r="S29" s="15" t="str">
        <f t="shared" si="26"/>
        <v/>
      </c>
      <c r="T29" s="15" t="str">
        <f t="shared" si="26"/>
        <v/>
      </c>
      <c r="U29" s="15" t="str">
        <f t="shared" si="26"/>
        <v/>
      </c>
      <c r="V29" s="15" t="str">
        <f t="shared" si="26"/>
        <v/>
      </c>
      <c r="W29" s="15" t="str">
        <f t="shared" si="26"/>
        <v/>
      </c>
      <c r="X29" s="15" t="str">
        <f t="shared" si="26"/>
        <v/>
      </c>
      <c r="Y29" s="15">
        <f t="shared" si="26"/>
        <v>5</v>
      </c>
      <c r="Z29" s="15" t="str">
        <f t="shared" si="26"/>
        <v/>
      </c>
      <c r="AA29" s="15" t="str">
        <f t="shared" si="26"/>
        <v/>
      </c>
      <c r="AB29" s="15" t="str">
        <f t="shared" si="26"/>
        <v/>
      </c>
      <c r="AC29" s="15" t="str">
        <f t="shared" si="26"/>
        <v/>
      </c>
      <c r="AD29" s="15" t="str">
        <f t="shared" si="26"/>
        <v/>
      </c>
      <c r="AE29" s="15" t="str">
        <f t="shared" si="26"/>
        <v/>
      </c>
      <c r="AF29" s="15" t="str">
        <f t="shared" si="26"/>
        <v/>
      </c>
      <c r="AG29" s="15" t="str">
        <f t="shared" si="26"/>
        <v/>
      </c>
      <c r="AH29" s="15" t="str">
        <f t="shared" si="26"/>
        <v/>
      </c>
      <c r="AI29" s="15" t="str">
        <f t="shared" si="26"/>
        <v/>
      </c>
      <c r="AJ29" s="15" t="str">
        <f t="shared" si="26"/>
        <v/>
      </c>
      <c r="AK29" s="15" t="str">
        <f t="shared" si="26"/>
        <v/>
      </c>
      <c r="AL29" s="15" t="str">
        <f t="shared" si="26"/>
        <v/>
      </c>
      <c r="AM29" s="15" t="str">
        <f t="shared" si="26"/>
        <v/>
      </c>
      <c r="AN29" s="15" t="str">
        <f t="shared" si="26"/>
        <v/>
      </c>
      <c r="AO29" s="15" t="str">
        <f t="shared" si="26"/>
        <v/>
      </c>
      <c r="AP29" s="15" t="str">
        <f t="shared" si="26"/>
        <v/>
      </c>
      <c r="AQ29" s="15" t="str">
        <f t="shared" si="26"/>
        <v/>
      </c>
      <c r="AR29" s="15" t="str">
        <f t="shared" si="26"/>
        <v/>
      </c>
      <c r="AS29" s="15" t="str">
        <f t="shared" si="26"/>
        <v/>
      </c>
      <c r="AT29" s="15" t="str">
        <f t="shared" si="26"/>
        <v/>
      </c>
      <c r="AU29" s="15" t="str">
        <f t="shared" si="26"/>
        <v/>
      </c>
      <c r="AV29" s="15" t="str">
        <f t="shared" si="26"/>
        <v/>
      </c>
      <c r="AW29" s="15" t="str">
        <f t="shared" si="26"/>
        <v/>
      </c>
      <c r="AX29" s="15" t="str">
        <f t="shared" si="26"/>
        <v/>
      </c>
      <c r="AY29" s="15" t="str">
        <f t="shared" si="26"/>
        <v/>
      </c>
    </row>
    <row r="30" ht="12.0" customHeight="1">
      <c r="A30" s="12">
        <f t="shared" si="1"/>
        <v>10</v>
      </c>
      <c r="B30" s="13">
        <f t="shared" si="2"/>
        <v>17</v>
      </c>
      <c r="C30" s="12">
        <f t="shared" si="3"/>
        <v>1.36</v>
      </c>
      <c r="D30" s="12">
        <f t="shared" si="4"/>
        <v>0.3777777778</v>
      </c>
      <c r="E30" s="12">
        <f t="shared" si="5"/>
        <v>8.343322903</v>
      </c>
      <c r="F30" s="12">
        <f t="shared" si="6"/>
        <v>62.57492177</v>
      </c>
      <c r="G30" s="12">
        <f t="shared" si="7"/>
        <v>10.42915363</v>
      </c>
      <c r="H30" s="12">
        <f t="shared" si="8"/>
        <v>4.5</v>
      </c>
      <c r="I30" s="12">
        <f t="shared" si="9"/>
        <v>14.5</v>
      </c>
      <c r="J30" s="12">
        <f t="shared" si="10"/>
        <v>9.5</v>
      </c>
      <c r="L30" s="15" t="str">
        <f t="shared" ref="L30:AY30" si="27">IF(L$13="","",IF(AND(L$13&gt;$H29,L$13&lt;=$I29),IF(AND(MOD($B$6,2)=1,L$13=ROUNDUP($J29,0)),"0",IF(L$13=INT($H29)+1,ROUNDDOWN(ABS(L$13-$J29),0),IF(L$13=INT($I29),ROUNDUP(ABS(L$13-$J29),0),""))),""))</f>
        <v/>
      </c>
      <c r="M30" s="15" t="str">
        <f t="shared" si="27"/>
        <v/>
      </c>
      <c r="N30" s="15" t="str">
        <f t="shared" si="27"/>
        <v/>
      </c>
      <c r="O30" s="15" t="str">
        <f t="shared" si="27"/>
        <v/>
      </c>
      <c r="P30" s="15">
        <f t="shared" si="27"/>
        <v>4</v>
      </c>
      <c r="Q30" s="15" t="str">
        <f t="shared" si="27"/>
        <v/>
      </c>
      <c r="R30" s="15" t="str">
        <f t="shared" si="27"/>
        <v/>
      </c>
      <c r="S30" s="15" t="str">
        <f t="shared" si="27"/>
        <v/>
      </c>
      <c r="T30" s="15" t="str">
        <f t="shared" si="27"/>
        <v/>
      </c>
      <c r="U30" s="15" t="str">
        <f t="shared" si="27"/>
        <v/>
      </c>
      <c r="V30" s="15" t="str">
        <f t="shared" si="27"/>
        <v/>
      </c>
      <c r="W30" s="15" t="str">
        <f t="shared" si="27"/>
        <v/>
      </c>
      <c r="X30" s="15" t="str">
        <f t="shared" si="27"/>
        <v/>
      </c>
      <c r="Y30" s="15">
        <f t="shared" si="27"/>
        <v>5</v>
      </c>
      <c r="Z30" s="15" t="str">
        <f t="shared" si="27"/>
        <v/>
      </c>
      <c r="AA30" s="15" t="str">
        <f t="shared" si="27"/>
        <v/>
      </c>
      <c r="AB30" s="15" t="str">
        <f t="shared" si="27"/>
        <v/>
      </c>
      <c r="AC30" s="15" t="str">
        <f t="shared" si="27"/>
        <v/>
      </c>
      <c r="AD30" s="15" t="str">
        <f t="shared" si="27"/>
        <v/>
      </c>
      <c r="AE30" s="15" t="str">
        <f t="shared" si="27"/>
        <v/>
      </c>
      <c r="AF30" s="15" t="str">
        <f t="shared" si="27"/>
        <v/>
      </c>
      <c r="AG30" s="15" t="str">
        <f t="shared" si="27"/>
        <v/>
      </c>
      <c r="AH30" s="15" t="str">
        <f t="shared" si="27"/>
        <v/>
      </c>
      <c r="AI30" s="15" t="str">
        <f t="shared" si="27"/>
        <v/>
      </c>
      <c r="AJ30" s="15" t="str">
        <f t="shared" si="27"/>
        <v/>
      </c>
      <c r="AK30" s="15" t="str">
        <f t="shared" si="27"/>
        <v/>
      </c>
      <c r="AL30" s="15" t="str">
        <f t="shared" si="27"/>
        <v/>
      </c>
      <c r="AM30" s="15" t="str">
        <f t="shared" si="27"/>
        <v/>
      </c>
      <c r="AN30" s="15" t="str">
        <f t="shared" si="27"/>
        <v/>
      </c>
      <c r="AO30" s="15" t="str">
        <f t="shared" si="27"/>
        <v/>
      </c>
      <c r="AP30" s="15" t="str">
        <f t="shared" si="27"/>
        <v/>
      </c>
      <c r="AQ30" s="15" t="str">
        <f t="shared" si="27"/>
        <v/>
      </c>
      <c r="AR30" s="15" t="str">
        <f t="shared" si="27"/>
        <v/>
      </c>
      <c r="AS30" s="15" t="str">
        <f t="shared" si="27"/>
        <v/>
      </c>
      <c r="AT30" s="15" t="str">
        <f t="shared" si="27"/>
        <v/>
      </c>
      <c r="AU30" s="15" t="str">
        <f t="shared" si="27"/>
        <v/>
      </c>
      <c r="AV30" s="15" t="str">
        <f t="shared" si="27"/>
        <v/>
      </c>
      <c r="AW30" s="15" t="str">
        <f t="shared" si="27"/>
        <v/>
      </c>
      <c r="AX30" s="15" t="str">
        <f t="shared" si="27"/>
        <v/>
      </c>
      <c r="AY30" s="15" t="str">
        <f t="shared" si="27"/>
        <v/>
      </c>
    </row>
    <row r="31" ht="12.0" customHeight="1">
      <c r="A31" s="12">
        <f t="shared" si="1"/>
        <v>11</v>
      </c>
      <c r="B31" s="13">
        <f t="shared" si="2"/>
        <v>18</v>
      </c>
      <c r="C31" s="12">
        <f t="shared" si="3"/>
        <v>1.44</v>
      </c>
      <c r="D31" s="12">
        <f t="shared" si="4"/>
        <v>0.4</v>
      </c>
      <c r="E31" s="12">
        <f t="shared" si="5"/>
        <v>8.808435384</v>
      </c>
      <c r="F31" s="12">
        <f t="shared" si="6"/>
        <v>66.06326538</v>
      </c>
      <c r="G31" s="12">
        <f t="shared" si="7"/>
        <v>11.01054423</v>
      </c>
      <c r="H31" s="12">
        <f t="shared" si="8"/>
        <v>4</v>
      </c>
      <c r="I31" s="12">
        <f t="shared" si="9"/>
        <v>15</v>
      </c>
      <c r="J31" s="12">
        <f t="shared" si="10"/>
        <v>9.5</v>
      </c>
      <c r="L31" s="15" t="str">
        <f t="shared" ref="L31:AY31" si="28">IF(L$13="","",IF(AND(L$13&gt;$H30,L$13&lt;=$I30),IF(AND(MOD($B$6,2)=1,L$13=ROUNDUP($J30,0)),"0",IF(L$13=INT($H30)+1,ROUNDDOWN(ABS(L$13-$J30),0),IF(L$13=INT($I30),ROUNDUP(ABS(L$13-$J30),0),""))),""))</f>
        <v/>
      </c>
      <c r="M31" s="15" t="str">
        <f t="shared" si="28"/>
        <v/>
      </c>
      <c r="N31" s="15" t="str">
        <f t="shared" si="28"/>
        <v/>
      </c>
      <c r="O31" s="15" t="str">
        <f t="shared" si="28"/>
        <v/>
      </c>
      <c r="P31" s="15">
        <f t="shared" si="28"/>
        <v>4</v>
      </c>
      <c r="Q31" s="15" t="str">
        <f t="shared" si="28"/>
        <v/>
      </c>
      <c r="R31" s="15" t="str">
        <f t="shared" si="28"/>
        <v/>
      </c>
      <c r="S31" s="15" t="str">
        <f t="shared" si="28"/>
        <v/>
      </c>
      <c r="T31" s="15" t="str">
        <f t="shared" si="28"/>
        <v/>
      </c>
      <c r="U31" s="15" t="str">
        <f t="shared" si="28"/>
        <v/>
      </c>
      <c r="V31" s="15" t="str">
        <f t="shared" si="28"/>
        <v/>
      </c>
      <c r="W31" s="15" t="str">
        <f t="shared" si="28"/>
        <v/>
      </c>
      <c r="X31" s="15" t="str">
        <f t="shared" si="28"/>
        <v/>
      </c>
      <c r="Y31" s="15">
        <f t="shared" si="28"/>
        <v>5</v>
      </c>
      <c r="Z31" s="15" t="str">
        <f t="shared" si="28"/>
        <v/>
      </c>
      <c r="AA31" s="15" t="str">
        <f t="shared" si="28"/>
        <v/>
      </c>
      <c r="AB31" s="15" t="str">
        <f t="shared" si="28"/>
        <v/>
      </c>
      <c r="AC31" s="15" t="str">
        <f t="shared" si="28"/>
        <v/>
      </c>
      <c r="AD31" s="15" t="str">
        <f t="shared" si="28"/>
        <v/>
      </c>
      <c r="AE31" s="15" t="str">
        <f t="shared" si="28"/>
        <v/>
      </c>
      <c r="AF31" s="15" t="str">
        <f t="shared" si="28"/>
        <v/>
      </c>
      <c r="AG31" s="15" t="str">
        <f t="shared" si="28"/>
        <v/>
      </c>
      <c r="AH31" s="15" t="str">
        <f t="shared" si="28"/>
        <v/>
      </c>
      <c r="AI31" s="15" t="str">
        <f t="shared" si="28"/>
        <v/>
      </c>
      <c r="AJ31" s="15" t="str">
        <f t="shared" si="28"/>
        <v/>
      </c>
      <c r="AK31" s="15" t="str">
        <f t="shared" si="28"/>
        <v/>
      </c>
      <c r="AL31" s="15" t="str">
        <f t="shared" si="28"/>
        <v/>
      </c>
      <c r="AM31" s="15" t="str">
        <f t="shared" si="28"/>
        <v/>
      </c>
      <c r="AN31" s="15" t="str">
        <f t="shared" si="28"/>
        <v/>
      </c>
      <c r="AO31" s="15" t="str">
        <f t="shared" si="28"/>
        <v/>
      </c>
      <c r="AP31" s="15" t="str">
        <f t="shared" si="28"/>
        <v/>
      </c>
      <c r="AQ31" s="15" t="str">
        <f t="shared" si="28"/>
        <v/>
      </c>
      <c r="AR31" s="15" t="str">
        <f t="shared" si="28"/>
        <v/>
      </c>
      <c r="AS31" s="15" t="str">
        <f t="shared" si="28"/>
        <v/>
      </c>
      <c r="AT31" s="15" t="str">
        <f t="shared" si="28"/>
        <v/>
      </c>
      <c r="AU31" s="15" t="str">
        <f t="shared" si="28"/>
        <v/>
      </c>
      <c r="AV31" s="15" t="str">
        <f t="shared" si="28"/>
        <v/>
      </c>
      <c r="AW31" s="15" t="str">
        <f t="shared" si="28"/>
        <v/>
      </c>
      <c r="AX31" s="15" t="str">
        <f t="shared" si="28"/>
        <v/>
      </c>
      <c r="AY31" s="15" t="str">
        <f t="shared" si="28"/>
        <v/>
      </c>
    </row>
    <row r="32" ht="12.0" customHeight="1">
      <c r="A32" s="12">
        <f t="shared" si="1"/>
        <v>12</v>
      </c>
      <c r="B32" s="13">
        <f t="shared" si="2"/>
        <v>19</v>
      </c>
      <c r="C32" s="12">
        <f t="shared" si="3"/>
        <v>1.52</v>
      </c>
      <c r="D32" s="12">
        <f t="shared" si="4"/>
        <v>0.4222222222</v>
      </c>
      <c r="E32" s="12">
        <f t="shared" si="5"/>
        <v>9.2691982</v>
      </c>
      <c r="F32" s="12">
        <f t="shared" si="6"/>
        <v>69.5189865</v>
      </c>
      <c r="G32" s="12">
        <f t="shared" si="7"/>
        <v>11.58649775</v>
      </c>
      <c r="H32" s="12">
        <f t="shared" si="8"/>
        <v>3.5</v>
      </c>
      <c r="I32" s="12">
        <f t="shared" si="9"/>
        <v>15.5</v>
      </c>
      <c r="J32" s="12">
        <f t="shared" si="10"/>
        <v>9.5</v>
      </c>
      <c r="L32" s="15" t="str">
        <f t="shared" ref="L32:AY32" si="29">IF(L$13="","",IF(AND(L$13&gt;$H31,L$13&lt;=$I31),IF(AND(MOD($B$6,2)=1,L$13=ROUNDUP($J31,0)),"0",IF(L$13=INT($H31)+1,ROUNDDOWN(ABS(L$13-$J31),0),IF(L$13=INT($I31),ROUNDUP(ABS(L$13-$J31),0),""))),""))</f>
        <v/>
      </c>
      <c r="M32" s="15" t="str">
        <f t="shared" si="29"/>
        <v/>
      </c>
      <c r="N32" s="15" t="str">
        <f t="shared" si="29"/>
        <v/>
      </c>
      <c r="O32" s="15" t="str">
        <f t="shared" si="29"/>
        <v/>
      </c>
      <c r="P32" s="15">
        <f t="shared" si="29"/>
        <v>4</v>
      </c>
      <c r="Q32" s="15" t="str">
        <f t="shared" si="29"/>
        <v/>
      </c>
      <c r="R32" s="15" t="str">
        <f t="shared" si="29"/>
        <v/>
      </c>
      <c r="S32" s="15" t="str">
        <f t="shared" si="29"/>
        <v/>
      </c>
      <c r="T32" s="15" t="str">
        <f t="shared" si="29"/>
        <v/>
      </c>
      <c r="U32" s="15" t="str">
        <f t="shared" si="29"/>
        <v/>
      </c>
      <c r="V32" s="15" t="str">
        <f t="shared" si="29"/>
        <v/>
      </c>
      <c r="W32" s="15" t="str">
        <f t="shared" si="29"/>
        <v/>
      </c>
      <c r="X32" s="15" t="str">
        <f t="shared" si="29"/>
        <v/>
      </c>
      <c r="Y32" s="15" t="str">
        <f t="shared" si="29"/>
        <v/>
      </c>
      <c r="Z32" s="15">
        <f t="shared" si="29"/>
        <v>6</v>
      </c>
      <c r="AA32" s="15" t="str">
        <f t="shared" si="29"/>
        <v/>
      </c>
      <c r="AB32" s="15" t="str">
        <f t="shared" si="29"/>
        <v/>
      </c>
      <c r="AC32" s="15" t="str">
        <f t="shared" si="29"/>
        <v/>
      </c>
      <c r="AD32" s="15" t="str">
        <f t="shared" si="29"/>
        <v/>
      </c>
      <c r="AE32" s="15" t="str">
        <f t="shared" si="29"/>
        <v/>
      </c>
      <c r="AF32" s="15" t="str">
        <f t="shared" si="29"/>
        <v/>
      </c>
      <c r="AG32" s="15" t="str">
        <f t="shared" si="29"/>
        <v/>
      </c>
      <c r="AH32" s="15" t="str">
        <f t="shared" si="29"/>
        <v/>
      </c>
      <c r="AI32" s="15" t="str">
        <f t="shared" si="29"/>
        <v/>
      </c>
      <c r="AJ32" s="15" t="str">
        <f t="shared" si="29"/>
        <v/>
      </c>
      <c r="AK32" s="15" t="str">
        <f t="shared" si="29"/>
        <v/>
      </c>
      <c r="AL32" s="15" t="str">
        <f t="shared" si="29"/>
        <v/>
      </c>
      <c r="AM32" s="15" t="str">
        <f t="shared" si="29"/>
        <v/>
      </c>
      <c r="AN32" s="15" t="str">
        <f t="shared" si="29"/>
        <v/>
      </c>
      <c r="AO32" s="15" t="str">
        <f t="shared" si="29"/>
        <v/>
      </c>
      <c r="AP32" s="15" t="str">
        <f t="shared" si="29"/>
        <v/>
      </c>
      <c r="AQ32" s="15" t="str">
        <f t="shared" si="29"/>
        <v/>
      </c>
      <c r="AR32" s="15" t="str">
        <f t="shared" si="29"/>
        <v/>
      </c>
      <c r="AS32" s="15" t="str">
        <f t="shared" si="29"/>
        <v/>
      </c>
      <c r="AT32" s="15" t="str">
        <f t="shared" si="29"/>
        <v/>
      </c>
      <c r="AU32" s="15" t="str">
        <f t="shared" si="29"/>
        <v/>
      </c>
      <c r="AV32" s="15" t="str">
        <f t="shared" si="29"/>
        <v/>
      </c>
      <c r="AW32" s="15" t="str">
        <f t="shared" si="29"/>
        <v/>
      </c>
      <c r="AX32" s="15" t="str">
        <f t="shared" si="29"/>
        <v/>
      </c>
      <c r="AY32" s="15" t="str">
        <f t="shared" si="29"/>
        <v/>
      </c>
    </row>
    <row r="33" ht="12.0" customHeight="1">
      <c r="A33" s="12">
        <f t="shared" si="1"/>
        <v>12</v>
      </c>
      <c r="B33" s="13">
        <f t="shared" si="2"/>
        <v>20</v>
      </c>
      <c r="C33" s="12">
        <f t="shared" si="3"/>
        <v>1.6</v>
      </c>
      <c r="D33" s="12">
        <f t="shared" si="4"/>
        <v>0.4444444444</v>
      </c>
      <c r="E33" s="12">
        <f t="shared" si="5"/>
        <v>9.725383822</v>
      </c>
      <c r="F33" s="12">
        <f t="shared" si="6"/>
        <v>72.94037866</v>
      </c>
      <c r="G33" s="12">
        <f t="shared" si="7"/>
        <v>12.15672978</v>
      </c>
      <c r="H33" s="12">
        <f t="shared" si="8"/>
        <v>3.5</v>
      </c>
      <c r="I33" s="12">
        <f t="shared" si="9"/>
        <v>15.5</v>
      </c>
      <c r="J33" s="12">
        <f t="shared" si="10"/>
        <v>9.5</v>
      </c>
      <c r="L33" s="15" t="str">
        <f t="shared" ref="L33:AY33" si="30">IF(L$13="","",IF(AND(L$13&gt;$H32,L$13&lt;=$I32),IF(AND(MOD($B$6,2)=1,L$13=ROUNDUP($J32,0)),"0",IF(L$13=INT($H32)+1,ROUNDDOWN(ABS(L$13-$J32),0),IF(L$13=INT($I32),ROUNDUP(ABS(L$13-$J32),0),""))),""))</f>
        <v/>
      </c>
      <c r="M33" s="15" t="str">
        <f t="shared" si="30"/>
        <v/>
      </c>
      <c r="N33" s="15" t="str">
        <f t="shared" si="30"/>
        <v/>
      </c>
      <c r="O33" s="15">
        <f t="shared" si="30"/>
        <v>5</v>
      </c>
      <c r="P33" s="15" t="str">
        <f t="shared" si="30"/>
        <v/>
      </c>
      <c r="Q33" s="15" t="str">
        <f t="shared" si="30"/>
        <v/>
      </c>
      <c r="R33" s="15" t="str">
        <f t="shared" si="30"/>
        <v/>
      </c>
      <c r="S33" s="15" t="str">
        <f t="shared" si="30"/>
        <v/>
      </c>
      <c r="T33" s="15" t="str">
        <f t="shared" si="30"/>
        <v/>
      </c>
      <c r="U33" s="15" t="str">
        <f t="shared" si="30"/>
        <v/>
      </c>
      <c r="V33" s="15" t="str">
        <f t="shared" si="30"/>
        <v/>
      </c>
      <c r="W33" s="15" t="str">
        <f t="shared" si="30"/>
        <v/>
      </c>
      <c r="X33" s="15" t="str">
        <f t="shared" si="30"/>
        <v/>
      </c>
      <c r="Y33" s="15" t="str">
        <f t="shared" si="30"/>
        <v/>
      </c>
      <c r="Z33" s="15">
        <f t="shared" si="30"/>
        <v>6</v>
      </c>
      <c r="AA33" s="15" t="str">
        <f t="shared" si="30"/>
        <v/>
      </c>
      <c r="AB33" s="15" t="str">
        <f t="shared" si="30"/>
        <v/>
      </c>
      <c r="AC33" s="15" t="str">
        <f t="shared" si="30"/>
        <v/>
      </c>
      <c r="AD33" s="15" t="str">
        <f t="shared" si="30"/>
        <v/>
      </c>
      <c r="AE33" s="15" t="str">
        <f t="shared" si="30"/>
        <v/>
      </c>
      <c r="AF33" s="15" t="str">
        <f t="shared" si="30"/>
        <v/>
      </c>
      <c r="AG33" s="15" t="str">
        <f t="shared" si="30"/>
        <v/>
      </c>
      <c r="AH33" s="15" t="str">
        <f t="shared" si="30"/>
        <v/>
      </c>
      <c r="AI33" s="15" t="str">
        <f t="shared" si="30"/>
        <v/>
      </c>
      <c r="AJ33" s="15" t="str">
        <f t="shared" si="30"/>
        <v/>
      </c>
      <c r="AK33" s="15" t="str">
        <f t="shared" si="30"/>
        <v/>
      </c>
      <c r="AL33" s="15" t="str">
        <f t="shared" si="30"/>
        <v/>
      </c>
      <c r="AM33" s="15" t="str">
        <f t="shared" si="30"/>
        <v/>
      </c>
      <c r="AN33" s="15" t="str">
        <f t="shared" si="30"/>
        <v/>
      </c>
      <c r="AO33" s="15" t="str">
        <f t="shared" si="30"/>
        <v/>
      </c>
      <c r="AP33" s="15" t="str">
        <f t="shared" si="30"/>
        <v/>
      </c>
      <c r="AQ33" s="15" t="str">
        <f t="shared" si="30"/>
        <v/>
      </c>
      <c r="AR33" s="15" t="str">
        <f t="shared" si="30"/>
        <v/>
      </c>
      <c r="AS33" s="15" t="str">
        <f t="shared" si="30"/>
        <v/>
      </c>
      <c r="AT33" s="15" t="str">
        <f t="shared" si="30"/>
        <v/>
      </c>
      <c r="AU33" s="15" t="str">
        <f t="shared" si="30"/>
        <v/>
      </c>
      <c r="AV33" s="15" t="str">
        <f t="shared" si="30"/>
        <v/>
      </c>
      <c r="AW33" s="15" t="str">
        <f t="shared" si="30"/>
        <v/>
      </c>
      <c r="AX33" s="15" t="str">
        <f t="shared" si="30"/>
        <v/>
      </c>
      <c r="AY33" s="15" t="str">
        <f t="shared" si="30"/>
        <v/>
      </c>
    </row>
    <row r="34" ht="12.0" customHeight="1">
      <c r="A34" s="12">
        <f t="shared" si="1"/>
        <v>13</v>
      </c>
      <c r="B34" s="13">
        <f t="shared" si="2"/>
        <v>21</v>
      </c>
      <c r="C34" s="12">
        <f t="shared" si="3"/>
        <v>1.68</v>
      </c>
      <c r="D34" s="12">
        <f t="shared" si="4"/>
        <v>0.4666666667</v>
      </c>
      <c r="E34" s="12">
        <f t="shared" si="5"/>
        <v>10.17676698</v>
      </c>
      <c r="F34" s="12">
        <f t="shared" si="6"/>
        <v>76.32575237</v>
      </c>
      <c r="G34" s="12">
        <f t="shared" si="7"/>
        <v>12.72095873</v>
      </c>
      <c r="H34" s="12">
        <f t="shared" si="8"/>
        <v>3</v>
      </c>
      <c r="I34" s="12">
        <f t="shared" si="9"/>
        <v>16</v>
      </c>
      <c r="J34" s="12">
        <f t="shared" si="10"/>
        <v>9.5</v>
      </c>
      <c r="L34" s="15" t="str">
        <f t="shared" ref="L34:AY34" si="31">IF(L$13="","",IF(AND(L$13&gt;$H33,L$13&lt;=$I33),IF(AND(MOD($B$6,2)=1,L$13=ROUNDUP($J33,0)),"0",IF(L$13=INT($H33)+1,ROUNDDOWN(ABS(L$13-$J33),0),IF(L$13=INT($I33),ROUNDUP(ABS(L$13-$J33),0),""))),""))</f>
        <v/>
      </c>
      <c r="M34" s="15" t="str">
        <f t="shared" si="31"/>
        <v/>
      </c>
      <c r="N34" s="15" t="str">
        <f t="shared" si="31"/>
        <v/>
      </c>
      <c r="O34" s="15">
        <f t="shared" si="31"/>
        <v>5</v>
      </c>
      <c r="P34" s="15" t="str">
        <f t="shared" si="31"/>
        <v/>
      </c>
      <c r="Q34" s="15" t="str">
        <f t="shared" si="31"/>
        <v/>
      </c>
      <c r="R34" s="15" t="str">
        <f t="shared" si="31"/>
        <v/>
      </c>
      <c r="S34" s="15" t="str">
        <f t="shared" si="31"/>
        <v/>
      </c>
      <c r="T34" s="15" t="str">
        <f t="shared" si="31"/>
        <v/>
      </c>
      <c r="U34" s="15" t="str">
        <f t="shared" si="31"/>
        <v/>
      </c>
      <c r="V34" s="15" t="str">
        <f t="shared" si="31"/>
        <v/>
      </c>
      <c r="W34" s="15" t="str">
        <f t="shared" si="31"/>
        <v/>
      </c>
      <c r="X34" s="15" t="str">
        <f t="shared" si="31"/>
        <v/>
      </c>
      <c r="Y34" s="15" t="str">
        <f t="shared" si="31"/>
        <v/>
      </c>
      <c r="Z34" s="15">
        <f t="shared" si="31"/>
        <v>6</v>
      </c>
      <c r="AA34" s="15" t="str">
        <f t="shared" si="31"/>
        <v/>
      </c>
      <c r="AB34" s="15" t="str">
        <f t="shared" si="31"/>
        <v/>
      </c>
      <c r="AC34" s="15" t="str">
        <f t="shared" si="31"/>
        <v/>
      </c>
      <c r="AD34" s="15" t="str">
        <f t="shared" si="31"/>
        <v/>
      </c>
      <c r="AE34" s="15" t="str">
        <f t="shared" si="31"/>
        <v/>
      </c>
      <c r="AF34" s="15" t="str">
        <f t="shared" si="31"/>
        <v/>
      </c>
      <c r="AG34" s="15" t="str">
        <f t="shared" si="31"/>
        <v/>
      </c>
      <c r="AH34" s="15" t="str">
        <f t="shared" si="31"/>
        <v/>
      </c>
      <c r="AI34" s="15" t="str">
        <f t="shared" si="31"/>
        <v/>
      </c>
      <c r="AJ34" s="15" t="str">
        <f t="shared" si="31"/>
        <v/>
      </c>
      <c r="AK34" s="15" t="str">
        <f t="shared" si="31"/>
        <v/>
      </c>
      <c r="AL34" s="15" t="str">
        <f t="shared" si="31"/>
        <v/>
      </c>
      <c r="AM34" s="15" t="str">
        <f t="shared" si="31"/>
        <v/>
      </c>
      <c r="AN34" s="15" t="str">
        <f t="shared" si="31"/>
        <v/>
      </c>
      <c r="AO34" s="15" t="str">
        <f t="shared" si="31"/>
        <v/>
      </c>
      <c r="AP34" s="15" t="str">
        <f t="shared" si="31"/>
        <v/>
      </c>
      <c r="AQ34" s="15" t="str">
        <f t="shared" si="31"/>
        <v/>
      </c>
      <c r="AR34" s="15" t="str">
        <f t="shared" si="31"/>
        <v/>
      </c>
      <c r="AS34" s="15" t="str">
        <f t="shared" si="31"/>
        <v/>
      </c>
      <c r="AT34" s="15" t="str">
        <f t="shared" si="31"/>
        <v/>
      </c>
      <c r="AU34" s="15" t="str">
        <f t="shared" si="31"/>
        <v/>
      </c>
      <c r="AV34" s="15" t="str">
        <f t="shared" si="31"/>
        <v/>
      </c>
      <c r="AW34" s="15" t="str">
        <f t="shared" si="31"/>
        <v/>
      </c>
      <c r="AX34" s="15" t="str">
        <f t="shared" si="31"/>
        <v/>
      </c>
      <c r="AY34" s="15" t="str">
        <f t="shared" si="31"/>
        <v/>
      </c>
    </row>
    <row r="35" ht="12.0" customHeight="1">
      <c r="A35" s="12">
        <f t="shared" si="1"/>
        <v>13</v>
      </c>
      <c r="B35" s="13">
        <f t="shared" si="2"/>
        <v>22</v>
      </c>
      <c r="C35" s="12">
        <f t="shared" si="3"/>
        <v>1.76</v>
      </c>
      <c r="D35" s="12">
        <f t="shared" si="4"/>
        <v>0.4888888889</v>
      </c>
      <c r="E35" s="12">
        <f t="shared" si="5"/>
        <v>10.62312479</v>
      </c>
      <c r="F35" s="12">
        <f t="shared" si="6"/>
        <v>79.6734359</v>
      </c>
      <c r="G35" s="12">
        <f t="shared" si="7"/>
        <v>13.27890598</v>
      </c>
      <c r="H35" s="12">
        <f t="shared" si="8"/>
        <v>3</v>
      </c>
      <c r="I35" s="12">
        <f t="shared" si="9"/>
        <v>16</v>
      </c>
      <c r="J35" s="12">
        <f t="shared" si="10"/>
        <v>9.5</v>
      </c>
      <c r="L35" s="15" t="str">
        <f t="shared" ref="L35:AY35" si="32">IF(L$13="","",IF(AND(L$13&gt;$H34,L$13&lt;=$I34),IF(AND(MOD($B$6,2)=1,L$13=ROUNDUP($J34,0)),"0",IF(L$13=INT($H34)+1,ROUNDDOWN(ABS(L$13-$J34),0),IF(L$13=INT($I34),ROUNDUP(ABS(L$13-$J34),0),""))),""))</f>
        <v/>
      </c>
      <c r="M35" s="15" t="str">
        <f t="shared" si="32"/>
        <v/>
      </c>
      <c r="N35" s="15" t="str">
        <f t="shared" si="32"/>
        <v/>
      </c>
      <c r="O35" s="15">
        <f t="shared" si="32"/>
        <v>5</v>
      </c>
      <c r="P35" s="15" t="str">
        <f t="shared" si="32"/>
        <v/>
      </c>
      <c r="Q35" s="15" t="str">
        <f t="shared" si="32"/>
        <v/>
      </c>
      <c r="R35" s="15" t="str">
        <f t="shared" si="32"/>
        <v/>
      </c>
      <c r="S35" s="15" t="str">
        <f t="shared" si="32"/>
        <v/>
      </c>
      <c r="T35" s="15" t="str">
        <f t="shared" si="32"/>
        <v/>
      </c>
      <c r="U35" s="15" t="str">
        <f t="shared" si="32"/>
        <v/>
      </c>
      <c r="V35" s="15" t="str">
        <f t="shared" si="32"/>
        <v/>
      </c>
      <c r="W35" s="15" t="str">
        <f t="shared" si="32"/>
        <v/>
      </c>
      <c r="X35" s="15" t="str">
        <f t="shared" si="32"/>
        <v/>
      </c>
      <c r="Y35" s="15" t="str">
        <f t="shared" si="32"/>
        <v/>
      </c>
      <c r="Z35" s="15" t="str">
        <f t="shared" si="32"/>
        <v/>
      </c>
      <c r="AA35" s="15">
        <f t="shared" si="32"/>
        <v>7</v>
      </c>
      <c r="AB35" s="15" t="str">
        <f t="shared" si="32"/>
        <v/>
      </c>
      <c r="AC35" s="15" t="str">
        <f t="shared" si="32"/>
        <v/>
      </c>
      <c r="AD35" s="15" t="str">
        <f t="shared" si="32"/>
        <v/>
      </c>
      <c r="AE35" s="15" t="str">
        <f t="shared" si="32"/>
        <v/>
      </c>
      <c r="AF35" s="15" t="str">
        <f t="shared" si="32"/>
        <v/>
      </c>
      <c r="AG35" s="15" t="str">
        <f t="shared" si="32"/>
        <v/>
      </c>
      <c r="AH35" s="15" t="str">
        <f t="shared" si="32"/>
        <v/>
      </c>
      <c r="AI35" s="15" t="str">
        <f t="shared" si="32"/>
        <v/>
      </c>
      <c r="AJ35" s="15" t="str">
        <f t="shared" si="32"/>
        <v/>
      </c>
      <c r="AK35" s="15" t="str">
        <f t="shared" si="32"/>
        <v/>
      </c>
      <c r="AL35" s="15" t="str">
        <f t="shared" si="32"/>
        <v/>
      </c>
      <c r="AM35" s="15" t="str">
        <f t="shared" si="32"/>
        <v/>
      </c>
      <c r="AN35" s="15" t="str">
        <f t="shared" si="32"/>
        <v/>
      </c>
      <c r="AO35" s="15" t="str">
        <f t="shared" si="32"/>
        <v/>
      </c>
      <c r="AP35" s="15" t="str">
        <f t="shared" si="32"/>
        <v/>
      </c>
      <c r="AQ35" s="15" t="str">
        <f t="shared" si="32"/>
        <v/>
      </c>
      <c r="AR35" s="15" t="str">
        <f t="shared" si="32"/>
        <v/>
      </c>
      <c r="AS35" s="15" t="str">
        <f t="shared" si="32"/>
        <v/>
      </c>
      <c r="AT35" s="15" t="str">
        <f t="shared" si="32"/>
        <v/>
      </c>
      <c r="AU35" s="15" t="str">
        <f t="shared" si="32"/>
        <v/>
      </c>
      <c r="AV35" s="15" t="str">
        <f t="shared" si="32"/>
        <v/>
      </c>
      <c r="AW35" s="15" t="str">
        <f t="shared" si="32"/>
        <v/>
      </c>
      <c r="AX35" s="15" t="str">
        <f t="shared" si="32"/>
        <v/>
      </c>
      <c r="AY35" s="15" t="str">
        <f t="shared" si="32"/>
        <v/>
      </c>
    </row>
    <row r="36" ht="12.0" customHeight="1">
      <c r="A36" s="12">
        <f t="shared" si="1"/>
        <v>14</v>
      </c>
      <c r="B36" s="13">
        <f t="shared" si="2"/>
        <v>23</v>
      </c>
      <c r="C36" s="12">
        <f t="shared" si="3"/>
        <v>1.84</v>
      </c>
      <c r="D36" s="12">
        <f t="shared" si="4"/>
        <v>0.5111111111</v>
      </c>
      <c r="E36" s="12">
        <f t="shared" si="5"/>
        <v>11.06423682</v>
      </c>
      <c r="F36" s="12">
        <f t="shared" si="6"/>
        <v>82.98177614</v>
      </c>
      <c r="G36" s="12">
        <f t="shared" si="7"/>
        <v>13.83029602</v>
      </c>
      <c r="H36" s="12">
        <f t="shared" si="8"/>
        <v>2.5</v>
      </c>
      <c r="I36" s="12">
        <f t="shared" si="9"/>
        <v>16.5</v>
      </c>
      <c r="J36" s="12">
        <f t="shared" si="10"/>
        <v>9.5</v>
      </c>
      <c r="L36" s="15" t="str">
        <f t="shared" ref="L36:AY36" si="33">IF(L$13="","",IF(AND(L$13&gt;$H35,L$13&lt;=$I35),IF(AND(MOD($B$6,2)=1,L$13=ROUNDUP($J35,0)),"0",IF(L$13=INT($H35)+1,ROUNDDOWN(ABS(L$13-$J35),0),IF(L$13=INT($I35),ROUNDUP(ABS(L$13-$J35),0),""))),""))</f>
        <v/>
      </c>
      <c r="M36" s="15" t="str">
        <f t="shared" si="33"/>
        <v/>
      </c>
      <c r="N36" s="15" t="str">
        <f t="shared" si="33"/>
        <v/>
      </c>
      <c r="O36" s="15">
        <f t="shared" si="33"/>
        <v>5</v>
      </c>
      <c r="P36" s="15" t="str">
        <f t="shared" si="33"/>
        <v/>
      </c>
      <c r="Q36" s="15" t="str">
        <f t="shared" si="33"/>
        <v/>
      </c>
      <c r="R36" s="15" t="str">
        <f t="shared" si="33"/>
        <v/>
      </c>
      <c r="S36" s="15" t="str">
        <f t="shared" si="33"/>
        <v/>
      </c>
      <c r="T36" s="15" t="str">
        <f t="shared" si="33"/>
        <v/>
      </c>
      <c r="U36" s="15" t="str">
        <f t="shared" si="33"/>
        <v/>
      </c>
      <c r="V36" s="15" t="str">
        <f t="shared" si="33"/>
        <v/>
      </c>
      <c r="W36" s="15" t="str">
        <f t="shared" si="33"/>
        <v/>
      </c>
      <c r="X36" s="15" t="str">
        <f t="shared" si="33"/>
        <v/>
      </c>
      <c r="Y36" s="15" t="str">
        <f t="shared" si="33"/>
        <v/>
      </c>
      <c r="Z36" s="15" t="str">
        <f t="shared" si="33"/>
        <v/>
      </c>
      <c r="AA36" s="15">
        <f t="shared" si="33"/>
        <v>7</v>
      </c>
      <c r="AB36" s="15" t="str">
        <f t="shared" si="33"/>
        <v/>
      </c>
      <c r="AC36" s="15" t="str">
        <f t="shared" si="33"/>
        <v/>
      </c>
      <c r="AD36" s="15" t="str">
        <f t="shared" si="33"/>
        <v/>
      </c>
      <c r="AE36" s="15" t="str">
        <f t="shared" si="33"/>
        <v/>
      </c>
      <c r="AF36" s="15" t="str">
        <f t="shared" si="33"/>
        <v/>
      </c>
      <c r="AG36" s="15" t="str">
        <f t="shared" si="33"/>
        <v/>
      </c>
      <c r="AH36" s="15" t="str">
        <f t="shared" si="33"/>
        <v/>
      </c>
      <c r="AI36" s="15" t="str">
        <f t="shared" si="33"/>
        <v/>
      </c>
      <c r="AJ36" s="15" t="str">
        <f t="shared" si="33"/>
        <v/>
      </c>
      <c r="AK36" s="15" t="str">
        <f t="shared" si="33"/>
        <v/>
      </c>
      <c r="AL36" s="15" t="str">
        <f t="shared" si="33"/>
        <v/>
      </c>
      <c r="AM36" s="15" t="str">
        <f t="shared" si="33"/>
        <v/>
      </c>
      <c r="AN36" s="15" t="str">
        <f t="shared" si="33"/>
        <v/>
      </c>
      <c r="AO36" s="15" t="str">
        <f t="shared" si="33"/>
        <v/>
      </c>
      <c r="AP36" s="15" t="str">
        <f t="shared" si="33"/>
        <v/>
      </c>
      <c r="AQ36" s="15" t="str">
        <f t="shared" si="33"/>
        <v/>
      </c>
      <c r="AR36" s="15" t="str">
        <f t="shared" si="33"/>
        <v/>
      </c>
      <c r="AS36" s="15" t="str">
        <f t="shared" si="33"/>
        <v/>
      </c>
      <c r="AT36" s="15" t="str">
        <f t="shared" si="33"/>
        <v/>
      </c>
      <c r="AU36" s="15" t="str">
        <f t="shared" si="33"/>
        <v/>
      </c>
      <c r="AV36" s="15" t="str">
        <f t="shared" si="33"/>
        <v/>
      </c>
      <c r="AW36" s="15" t="str">
        <f t="shared" si="33"/>
        <v/>
      </c>
      <c r="AX36" s="15" t="str">
        <f t="shared" si="33"/>
        <v/>
      </c>
      <c r="AY36" s="15" t="str">
        <f t="shared" si="33"/>
        <v/>
      </c>
    </row>
    <row r="37" ht="12.0" customHeight="1">
      <c r="A37" s="12">
        <f t="shared" si="1"/>
        <v>14</v>
      </c>
      <c r="B37" s="13">
        <f t="shared" si="2"/>
        <v>24</v>
      </c>
      <c r="C37" s="12">
        <f t="shared" si="3"/>
        <v>1.92</v>
      </c>
      <c r="D37" s="12">
        <f t="shared" si="4"/>
        <v>0.5333333333</v>
      </c>
      <c r="E37" s="12">
        <f t="shared" si="5"/>
        <v>11.49988526</v>
      </c>
      <c r="F37" s="12">
        <f t="shared" si="6"/>
        <v>86.24913941</v>
      </c>
      <c r="G37" s="12">
        <f t="shared" si="7"/>
        <v>14.37485657</v>
      </c>
      <c r="H37" s="12">
        <f t="shared" si="8"/>
        <v>2.5</v>
      </c>
      <c r="I37" s="12">
        <f t="shared" si="9"/>
        <v>16.5</v>
      </c>
      <c r="J37" s="12">
        <f t="shared" si="10"/>
        <v>9.5</v>
      </c>
      <c r="L37" s="15" t="str">
        <f t="shared" ref="L37:AY37" si="34">IF(L$13="","",IF(AND(L$13&gt;$H36,L$13&lt;=$I36),IF(AND(MOD($B$6,2)=1,L$13=ROUNDUP($J36,0)),"0",IF(L$13=INT($H36)+1,ROUNDDOWN(ABS(L$13-$J36),0),IF(L$13=INT($I36),ROUNDUP(ABS(L$13-$J36),0),""))),""))</f>
        <v/>
      </c>
      <c r="M37" s="15" t="str">
        <f t="shared" si="34"/>
        <v/>
      </c>
      <c r="N37" s="15">
        <f t="shared" si="34"/>
        <v>6</v>
      </c>
      <c r="O37" s="15" t="str">
        <f t="shared" si="34"/>
        <v/>
      </c>
      <c r="P37" s="15" t="str">
        <f t="shared" si="34"/>
        <v/>
      </c>
      <c r="Q37" s="15" t="str">
        <f t="shared" si="34"/>
        <v/>
      </c>
      <c r="R37" s="15" t="str">
        <f t="shared" si="34"/>
        <v/>
      </c>
      <c r="S37" s="15" t="str">
        <f t="shared" si="34"/>
        <v/>
      </c>
      <c r="T37" s="15" t="str">
        <f t="shared" si="34"/>
        <v/>
      </c>
      <c r="U37" s="15" t="str">
        <f t="shared" si="34"/>
        <v/>
      </c>
      <c r="V37" s="15" t="str">
        <f t="shared" si="34"/>
        <v/>
      </c>
      <c r="W37" s="15" t="str">
        <f t="shared" si="34"/>
        <v/>
      </c>
      <c r="X37" s="15" t="str">
        <f t="shared" si="34"/>
        <v/>
      </c>
      <c r="Y37" s="15" t="str">
        <f t="shared" si="34"/>
        <v/>
      </c>
      <c r="Z37" s="15" t="str">
        <f t="shared" si="34"/>
        <v/>
      </c>
      <c r="AA37" s="15">
        <f t="shared" si="34"/>
        <v>7</v>
      </c>
      <c r="AB37" s="15" t="str">
        <f t="shared" si="34"/>
        <v/>
      </c>
      <c r="AC37" s="15" t="str">
        <f t="shared" si="34"/>
        <v/>
      </c>
      <c r="AD37" s="15" t="str">
        <f t="shared" si="34"/>
        <v/>
      </c>
      <c r="AE37" s="15" t="str">
        <f t="shared" si="34"/>
        <v/>
      </c>
      <c r="AF37" s="15" t="str">
        <f t="shared" si="34"/>
        <v/>
      </c>
      <c r="AG37" s="15" t="str">
        <f t="shared" si="34"/>
        <v/>
      </c>
      <c r="AH37" s="15" t="str">
        <f t="shared" si="34"/>
        <v/>
      </c>
      <c r="AI37" s="15" t="str">
        <f t="shared" si="34"/>
        <v/>
      </c>
      <c r="AJ37" s="15" t="str">
        <f t="shared" si="34"/>
        <v/>
      </c>
      <c r="AK37" s="15" t="str">
        <f t="shared" si="34"/>
        <v/>
      </c>
      <c r="AL37" s="15" t="str">
        <f t="shared" si="34"/>
        <v/>
      </c>
      <c r="AM37" s="15" t="str">
        <f t="shared" si="34"/>
        <v/>
      </c>
      <c r="AN37" s="15" t="str">
        <f t="shared" si="34"/>
        <v/>
      </c>
      <c r="AO37" s="15" t="str">
        <f t="shared" si="34"/>
        <v/>
      </c>
      <c r="AP37" s="15" t="str">
        <f t="shared" si="34"/>
        <v/>
      </c>
      <c r="AQ37" s="15" t="str">
        <f t="shared" si="34"/>
        <v/>
      </c>
      <c r="AR37" s="15" t="str">
        <f t="shared" si="34"/>
        <v/>
      </c>
      <c r="AS37" s="15" t="str">
        <f t="shared" si="34"/>
        <v/>
      </c>
      <c r="AT37" s="15" t="str">
        <f t="shared" si="34"/>
        <v/>
      </c>
      <c r="AU37" s="15" t="str">
        <f t="shared" si="34"/>
        <v/>
      </c>
      <c r="AV37" s="15" t="str">
        <f t="shared" si="34"/>
        <v/>
      </c>
      <c r="AW37" s="15" t="str">
        <f t="shared" si="34"/>
        <v/>
      </c>
      <c r="AX37" s="15" t="str">
        <f t="shared" si="34"/>
        <v/>
      </c>
      <c r="AY37" s="15" t="str">
        <f t="shared" si="34"/>
        <v/>
      </c>
    </row>
    <row r="38" ht="12.0" customHeight="1">
      <c r="A38" s="12">
        <f t="shared" si="1"/>
        <v>15</v>
      </c>
      <c r="B38" s="13">
        <f t="shared" si="2"/>
        <v>25</v>
      </c>
      <c r="C38" s="12">
        <f t="shared" si="3"/>
        <v>2</v>
      </c>
      <c r="D38" s="12">
        <f t="shared" si="4"/>
        <v>0.5555555556</v>
      </c>
      <c r="E38" s="12">
        <f t="shared" si="5"/>
        <v>11.92985497</v>
      </c>
      <c r="F38" s="12">
        <f t="shared" si="6"/>
        <v>89.47391227</v>
      </c>
      <c r="G38" s="12">
        <f t="shared" si="7"/>
        <v>14.91231871</v>
      </c>
      <c r="H38" s="12">
        <f t="shared" si="8"/>
        <v>2</v>
      </c>
      <c r="I38" s="12">
        <f t="shared" si="9"/>
        <v>17</v>
      </c>
      <c r="J38" s="12">
        <f t="shared" si="10"/>
        <v>9.5</v>
      </c>
      <c r="L38" s="15" t="str">
        <f t="shared" ref="L38:AY38" si="35">IF(L$13="","",IF(AND(L$13&gt;$H37,L$13&lt;=$I37),IF(AND(MOD($B$6,2)=1,L$13=ROUNDUP($J37,0)),"0",IF(L$13=INT($H37)+1,ROUNDDOWN(ABS(L$13-$J37),0),IF(L$13=INT($I37),ROUNDUP(ABS(L$13-$J37),0),""))),""))</f>
        <v/>
      </c>
      <c r="M38" s="15" t="str">
        <f t="shared" si="35"/>
        <v/>
      </c>
      <c r="N38" s="15">
        <f t="shared" si="35"/>
        <v>6</v>
      </c>
      <c r="O38" s="15" t="str">
        <f t="shared" si="35"/>
        <v/>
      </c>
      <c r="P38" s="15" t="str">
        <f t="shared" si="35"/>
        <v/>
      </c>
      <c r="Q38" s="15" t="str">
        <f t="shared" si="35"/>
        <v/>
      </c>
      <c r="R38" s="15" t="str">
        <f t="shared" si="35"/>
        <v/>
      </c>
      <c r="S38" s="15" t="str">
        <f t="shared" si="35"/>
        <v/>
      </c>
      <c r="T38" s="15" t="str">
        <f t="shared" si="35"/>
        <v/>
      </c>
      <c r="U38" s="15" t="str">
        <f t="shared" si="35"/>
        <v/>
      </c>
      <c r="V38" s="15" t="str">
        <f t="shared" si="35"/>
        <v/>
      </c>
      <c r="W38" s="15" t="str">
        <f t="shared" si="35"/>
        <v/>
      </c>
      <c r="X38" s="15" t="str">
        <f t="shared" si="35"/>
        <v/>
      </c>
      <c r="Y38" s="15" t="str">
        <f t="shared" si="35"/>
        <v/>
      </c>
      <c r="Z38" s="15" t="str">
        <f t="shared" si="35"/>
        <v/>
      </c>
      <c r="AA38" s="15">
        <f t="shared" si="35"/>
        <v>7</v>
      </c>
      <c r="AB38" s="15" t="str">
        <f t="shared" si="35"/>
        <v/>
      </c>
      <c r="AC38" s="15" t="str">
        <f t="shared" si="35"/>
        <v/>
      </c>
      <c r="AD38" s="15" t="str">
        <f t="shared" si="35"/>
        <v/>
      </c>
      <c r="AE38" s="15" t="str">
        <f t="shared" si="35"/>
        <v/>
      </c>
      <c r="AF38" s="15" t="str">
        <f t="shared" si="35"/>
        <v/>
      </c>
      <c r="AG38" s="15" t="str">
        <f t="shared" si="35"/>
        <v/>
      </c>
      <c r="AH38" s="15" t="str">
        <f t="shared" si="35"/>
        <v/>
      </c>
      <c r="AI38" s="15" t="str">
        <f t="shared" si="35"/>
        <v/>
      </c>
      <c r="AJ38" s="15" t="str">
        <f t="shared" si="35"/>
        <v/>
      </c>
      <c r="AK38" s="15" t="str">
        <f t="shared" si="35"/>
        <v/>
      </c>
      <c r="AL38" s="15" t="str">
        <f t="shared" si="35"/>
        <v/>
      </c>
      <c r="AM38" s="15" t="str">
        <f t="shared" si="35"/>
        <v/>
      </c>
      <c r="AN38" s="15" t="str">
        <f t="shared" si="35"/>
        <v/>
      </c>
      <c r="AO38" s="15" t="str">
        <f t="shared" si="35"/>
        <v/>
      </c>
      <c r="AP38" s="15" t="str">
        <f t="shared" si="35"/>
        <v/>
      </c>
      <c r="AQ38" s="15" t="str">
        <f t="shared" si="35"/>
        <v/>
      </c>
      <c r="AR38" s="15" t="str">
        <f t="shared" si="35"/>
        <v/>
      </c>
      <c r="AS38" s="15" t="str">
        <f t="shared" si="35"/>
        <v/>
      </c>
      <c r="AT38" s="15" t="str">
        <f t="shared" si="35"/>
        <v/>
      </c>
      <c r="AU38" s="15" t="str">
        <f t="shared" si="35"/>
        <v/>
      </c>
      <c r="AV38" s="15" t="str">
        <f t="shared" si="35"/>
        <v/>
      </c>
      <c r="AW38" s="15" t="str">
        <f t="shared" si="35"/>
        <v/>
      </c>
      <c r="AX38" s="15" t="str">
        <f t="shared" si="35"/>
        <v/>
      </c>
      <c r="AY38" s="15" t="str">
        <f t="shared" si="35"/>
        <v/>
      </c>
    </row>
    <row r="39" ht="12.0" customHeight="1">
      <c r="A39" s="12">
        <f t="shared" si="1"/>
        <v>15</v>
      </c>
      <c r="B39" s="13">
        <f t="shared" si="2"/>
        <v>26</v>
      </c>
      <c r="C39" s="12">
        <f t="shared" si="3"/>
        <v>2.08</v>
      </c>
      <c r="D39" s="12">
        <f t="shared" si="4"/>
        <v>0.5777777778</v>
      </c>
      <c r="E39" s="12">
        <f t="shared" si="5"/>
        <v>12.35393364</v>
      </c>
      <c r="F39" s="12">
        <f t="shared" si="6"/>
        <v>92.6545023</v>
      </c>
      <c r="G39" s="12">
        <f t="shared" si="7"/>
        <v>15.44241705</v>
      </c>
      <c r="H39" s="12">
        <f t="shared" si="8"/>
        <v>2</v>
      </c>
      <c r="I39" s="12">
        <f t="shared" si="9"/>
        <v>17</v>
      </c>
      <c r="J39" s="12">
        <f t="shared" si="10"/>
        <v>9.5</v>
      </c>
      <c r="L39" s="15" t="str">
        <f t="shared" ref="L39:AY39" si="36">IF(L$13="","",IF(AND(L$13&gt;$H38,L$13&lt;=$I38),IF(AND(MOD($B$6,2)=1,L$13=ROUNDUP($J38,0)),"0",IF(L$13=INT($H38)+1,ROUNDDOWN(ABS(L$13-$J38),0),IF(L$13=INT($I38),ROUNDUP(ABS(L$13-$J38),0),""))),""))</f>
        <v/>
      </c>
      <c r="M39" s="15" t="str">
        <f t="shared" si="36"/>
        <v/>
      </c>
      <c r="N39" s="15">
        <f t="shared" si="36"/>
        <v>6</v>
      </c>
      <c r="O39" s="15" t="str">
        <f t="shared" si="36"/>
        <v/>
      </c>
      <c r="P39" s="15" t="str">
        <f t="shared" si="36"/>
        <v/>
      </c>
      <c r="Q39" s="15" t="str">
        <f t="shared" si="36"/>
        <v/>
      </c>
      <c r="R39" s="15" t="str">
        <f t="shared" si="36"/>
        <v/>
      </c>
      <c r="S39" s="15" t="str">
        <f t="shared" si="36"/>
        <v/>
      </c>
      <c r="T39" s="15" t="str">
        <f t="shared" si="36"/>
        <v/>
      </c>
      <c r="U39" s="15" t="str">
        <f t="shared" si="36"/>
        <v/>
      </c>
      <c r="V39" s="15" t="str">
        <f t="shared" si="36"/>
        <v/>
      </c>
      <c r="W39" s="15" t="str">
        <f t="shared" si="36"/>
        <v/>
      </c>
      <c r="X39" s="15" t="str">
        <f t="shared" si="36"/>
        <v/>
      </c>
      <c r="Y39" s="15" t="str">
        <f t="shared" si="36"/>
        <v/>
      </c>
      <c r="Z39" s="15" t="str">
        <f t="shared" si="36"/>
        <v/>
      </c>
      <c r="AA39" s="15" t="str">
        <f t="shared" si="36"/>
        <v/>
      </c>
      <c r="AB39" s="15">
        <f t="shared" si="36"/>
        <v>8</v>
      </c>
      <c r="AC39" s="15" t="str">
        <f t="shared" si="36"/>
        <v/>
      </c>
      <c r="AD39" s="15" t="str">
        <f t="shared" si="36"/>
        <v/>
      </c>
      <c r="AE39" s="15" t="str">
        <f t="shared" si="36"/>
        <v/>
      </c>
      <c r="AF39" s="15" t="str">
        <f t="shared" si="36"/>
        <v/>
      </c>
      <c r="AG39" s="15" t="str">
        <f t="shared" si="36"/>
        <v/>
      </c>
      <c r="AH39" s="15" t="str">
        <f t="shared" si="36"/>
        <v/>
      </c>
      <c r="AI39" s="15" t="str">
        <f t="shared" si="36"/>
        <v/>
      </c>
      <c r="AJ39" s="15" t="str">
        <f t="shared" si="36"/>
        <v/>
      </c>
      <c r="AK39" s="15" t="str">
        <f t="shared" si="36"/>
        <v/>
      </c>
      <c r="AL39" s="15" t="str">
        <f t="shared" si="36"/>
        <v/>
      </c>
      <c r="AM39" s="15" t="str">
        <f t="shared" si="36"/>
        <v/>
      </c>
      <c r="AN39" s="15" t="str">
        <f t="shared" si="36"/>
        <v/>
      </c>
      <c r="AO39" s="15" t="str">
        <f t="shared" si="36"/>
        <v/>
      </c>
      <c r="AP39" s="15" t="str">
        <f t="shared" si="36"/>
        <v/>
      </c>
      <c r="AQ39" s="15" t="str">
        <f t="shared" si="36"/>
        <v/>
      </c>
      <c r="AR39" s="15" t="str">
        <f t="shared" si="36"/>
        <v/>
      </c>
      <c r="AS39" s="15" t="str">
        <f t="shared" si="36"/>
        <v/>
      </c>
      <c r="AT39" s="15" t="str">
        <f t="shared" si="36"/>
        <v/>
      </c>
      <c r="AU39" s="15" t="str">
        <f t="shared" si="36"/>
        <v/>
      </c>
      <c r="AV39" s="15" t="str">
        <f t="shared" si="36"/>
        <v/>
      </c>
      <c r="AW39" s="15" t="str">
        <f t="shared" si="36"/>
        <v/>
      </c>
      <c r="AX39" s="15" t="str">
        <f t="shared" si="36"/>
        <v/>
      </c>
      <c r="AY39" s="15" t="str">
        <f t="shared" si="36"/>
        <v/>
      </c>
    </row>
    <row r="40" ht="12.0" customHeight="1">
      <c r="A40" s="12">
        <f t="shared" si="1"/>
        <v>16</v>
      </c>
      <c r="B40" s="13">
        <f t="shared" si="2"/>
        <v>27</v>
      </c>
      <c r="C40" s="12">
        <f t="shared" si="3"/>
        <v>2.16</v>
      </c>
      <c r="D40" s="12">
        <f t="shared" si="4"/>
        <v>0.6</v>
      </c>
      <c r="E40" s="12">
        <f t="shared" si="5"/>
        <v>12.77191185</v>
      </c>
      <c r="F40" s="12">
        <f t="shared" si="6"/>
        <v>95.7893389</v>
      </c>
      <c r="G40" s="12">
        <f t="shared" si="7"/>
        <v>15.96488982</v>
      </c>
      <c r="H40" s="12">
        <f t="shared" si="8"/>
        <v>1.5</v>
      </c>
      <c r="I40" s="12">
        <f t="shared" si="9"/>
        <v>17.5</v>
      </c>
      <c r="J40" s="12">
        <f t="shared" si="10"/>
        <v>9.5</v>
      </c>
      <c r="L40" s="15" t="str">
        <f t="shared" ref="L40:AY40" si="37">IF(L$13="","",IF(AND(L$13&gt;$H39,L$13&lt;=$I39),IF(AND(MOD($B$6,2)=1,L$13=ROUNDUP($J39,0)),"0",IF(L$13=INT($H39)+1,ROUNDDOWN(ABS(L$13-$J39),0),IF(L$13=INT($I39),ROUNDUP(ABS(L$13-$J39),0),""))),""))</f>
        <v/>
      </c>
      <c r="M40" s="15" t="str">
        <f t="shared" si="37"/>
        <v/>
      </c>
      <c r="N40" s="15">
        <f t="shared" si="37"/>
        <v>6</v>
      </c>
      <c r="O40" s="15" t="str">
        <f t="shared" si="37"/>
        <v/>
      </c>
      <c r="P40" s="15" t="str">
        <f t="shared" si="37"/>
        <v/>
      </c>
      <c r="Q40" s="15" t="str">
        <f t="shared" si="37"/>
        <v/>
      </c>
      <c r="R40" s="15" t="str">
        <f t="shared" si="37"/>
        <v/>
      </c>
      <c r="S40" s="15" t="str">
        <f t="shared" si="37"/>
        <v/>
      </c>
      <c r="T40" s="15" t="str">
        <f t="shared" si="37"/>
        <v/>
      </c>
      <c r="U40" s="15" t="str">
        <f t="shared" si="37"/>
        <v/>
      </c>
      <c r="V40" s="15" t="str">
        <f t="shared" si="37"/>
        <v/>
      </c>
      <c r="W40" s="15" t="str">
        <f t="shared" si="37"/>
        <v/>
      </c>
      <c r="X40" s="15" t="str">
        <f t="shared" si="37"/>
        <v/>
      </c>
      <c r="Y40" s="15" t="str">
        <f t="shared" si="37"/>
        <v/>
      </c>
      <c r="Z40" s="15" t="str">
        <f t="shared" si="37"/>
        <v/>
      </c>
      <c r="AA40" s="15" t="str">
        <f t="shared" si="37"/>
        <v/>
      </c>
      <c r="AB40" s="15">
        <f t="shared" si="37"/>
        <v>8</v>
      </c>
      <c r="AC40" s="15" t="str">
        <f t="shared" si="37"/>
        <v/>
      </c>
      <c r="AD40" s="15" t="str">
        <f t="shared" si="37"/>
        <v/>
      </c>
      <c r="AE40" s="15" t="str">
        <f t="shared" si="37"/>
        <v/>
      </c>
      <c r="AF40" s="15" t="str">
        <f t="shared" si="37"/>
        <v/>
      </c>
      <c r="AG40" s="15" t="str">
        <f t="shared" si="37"/>
        <v/>
      </c>
      <c r="AH40" s="15" t="str">
        <f t="shared" si="37"/>
        <v/>
      </c>
      <c r="AI40" s="15" t="str">
        <f t="shared" si="37"/>
        <v/>
      </c>
      <c r="AJ40" s="15" t="str">
        <f t="shared" si="37"/>
        <v/>
      </c>
      <c r="AK40" s="15" t="str">
        <f t="shared" si="37"/>
        <v/>
      </c>
      <c r="AL40" s="15" t="str">
        <f t="shared" si="37"/>
        <v/>
      </c>
      <c r="AM40" s="15" t="str">
        <f t="shared" si="37"/>
        <v/>
      </c>
      <c r="AN40" s="15" t="str">
        <f t="shared" si="37"/>
        <v/>
      </c>
      <c r="AO40" s="15" t="str">
        <f t="shared" si="37"/>
        <v/>
      </c>
      <c r="AP40" s="15" t="str">
        <f t="shared" si="37"/>
        <v/>
      </c>
      <c r="AQ40" s="15" t="str">
        <f t="shared" si="37"/>
        <v/>
      </c>
      <c r="AR40" s="15" t="str">
        <f t="shared" si="37"/>
        <v/>
      </c>
      <c r="AS40" s="15" t="str">
        <f t="shared" si="37"/>
        <v/>
      </c>
      <c r="AT40" s="15" t="str">
        <f t="shared" si="37"/>
        <v/>
      </c>
      <c r="AU40" s="15" t="str">
        <f t="shared" si="37"/>
        <v/>
      </c>
      <c r="AV40" s="15" t="str">
        <f t="shared" si="37"/>
        <v/>
      </c>
      <c r="AW40" s="15" t="str">
        <f t="shared" si="37"/>
        <v/>
      </c>
      <c r="AX40" s="15" t="str">
        <f t="shared" si="37"/>
        <v/>
      </c>
      <c r="AY40" s="15" t="str">
        <f t="shared" si="37"/>
        <v/>
      </c>
    </row>
    <row r="41" ht="12.0" customHeight="1">
      <c r="A41" s="12">
        <f t="shared" si="1"/>
        <v>16</v>
      </c>
      <c r="B41" s="13">
        <f t="shared" si="2"/>
        <v>28</v>
      </c>
      <c r="C41" s="12">
        <f t="shared" si="3"/>
        <v>2.24</v>
      </c>
      <c r="D41" s="12">
        <f t="shared" si="4"/>
        <v>0.6222222222</v>
      </c>
      <c r="E41" s="12">
        <f t="shared" si="5"/>
        <v>13.18358321</v>
      </c>
      <c r="F41" s="12">
        <f t="shared" si="6"/>
        <v>98.87687407</v>
      </c>
      <c r="G41" s="12">
        <f t="shared" si="7"/>
        <v>16.47947901</v>
      </c>
      <c r="H41" s="12">
        <f t="shared" si="8"/>
        <v>1.5</v>
      </c>
      <c r="I41" s="12">
        <f t="shared" si="9"/>
        <v>17.5</v>
      </c>
      <c r="J41" s="12">
        <f t="shared" si="10"/>
        <v>9.5</v>
      </c>
      <c r="L41" s="15" t="str">
        <f t="shared" ref="L41:AY41" si="38">IF(L$13="","",IF(AND(L$13&gt;$H40,L$13&lt;=$I40),IF(AND(MOD($B$6,2)=1,L$13=ROUNDUP($J40,0)),"0",IF(L$13=INT($H40)+1,ROUNDDOWN(ABS(L$13-$J40),0),IF(L$13=INT($I40),ROUNDUP(ABS(L$13-$J40),0),""))),""))</f>
        <v/>
      </c>
      <c r="M41" s="15">
        <f t="shared" si="38"/>
        <v>7</v>
      </c>
      <c r="N41" s="15" t="str">
        <f t="shared" si="38"/>
        <v/>
      </c>
      <c r="O41" s="15" t="str">
        <f t="shared" si="38"/>
        <v/>
      </c>
      <c r="P41" s="15" t="str">
        <f t="shared" si="38"/>
        <v/>
      </c>
      <c r="Q41" s="15" t="str">
        <f t="shared" si="38"/>
        <v/>
      </c>
      <c r="R41" s="15" t="str">
        <f t="shared" si="38"/>
        <v/>
      </c>
      <c r="S41" s="15" t="str">
        <f t="shared" si="38"/>
        <v/>
      </c>
      <c r="T41" s="15" t="str">
        <f t="shared" si="38"/>
        <v/>
      </c>
      <c r="U41" s="15" t="str">
        <f t="shared" si="38"/>
        <v/>
      </c>
      <c r="V41" s="15" t="str">
        <f t="shared" si="38"/>
        <v/>
      </c>
      <c r="W41" s="15" t="str">
        <f t="shared" si="38"/>
        <v/>
      </c>
      <c r="X41" s="15" t="str">
        <f t="shared" si="38"/>
        <v/>
      </c>
      <c r="Y41" s="15" t="str">
        <f t="shared" si="38"/>
        <v/>
      </c>
      <c r="Z41" s="15" t="str">
        <f t="shared" si="38"/>
        <v/>
      </c>
      <c r="AA41" s="15" t="str">
        <f t="shared" si="38"/>
        <v/>
      </c>
      <c r="AB41" s="15">
        <f t="shared" si="38"/>
        <v>8</v>
      </c>
      <c r="AC41" s="15" t="str">
        <f t="shared" si="38"/>
        <v/>
      </c>
      <c r="AD41" s="15" t="str">
        <f t="shared" si="38"/>
        <v/>
      </c>
      <c r="AE41" s="15" t="str">
        <f t="shared" si="38"/>
        <v/>
      </c>
      <c r="AF41" s="15" t="str">
        <f t="shared" si="38"/>
        <v/>
      </c>
      <c r="AG41" s="15" t="str">
        <f t="shared" si="38"/>
        <v/>
      </c>
      <c r="AH41" s="15" t="str">
        <f t="shared" si="38"/>
        <v/>
      </c>
      <c r="AI41" s="15" t="str">
        <f t="shared" si="38"/>
        <v/>
      </c>
      <c r="AJ41" s="15" t="str">
        <f t="shared" si="38"/>
        <v/>
      </c>
      <c r="AK41" s="15" t="str">
        <f t="shared" si="38"/>
        <v/>
      </c>
      <c r="AL41" s="15" t="str">
        <f t="shared" si="38"/>
        <v/>
      </c>
      <c r="AM41" s="15" t="str">
        <f t="shared" si="38"/>
        <v/>
      </c>
      <c r="AN41" s="15" t="str">
        <f t="shared" si="38"/>
        <v/>
      </c>
      <c r="AO41" s="15" t="str">
        <f t="shared" si="38"/>
        <v/>
      </c>
      <c r="AP41" s="15" t="str">
        <f t="shared" si="38"/>
        <v/>
      </c>
      <c r="AQ41" s="15" t="str">
        <f t="shared" si="38"/>
        <v/>
      </c>
      <c r="AR41" s="15" t="str">
        <f t="shared" si="38"/>
        <v/>
      </c>
      <c r="AS41" s="15" t="str">
        <f t="shared" si="38"/>
        <v/>
      </c>
      <c r="AT41" s="15" t="str">
        <f t="shared" si="38"/>
        <v/>
      </c>
      <c r="AU41" s="15" t="str">
        <f t="shared" si="38"/>
        <v/>
      </c>
      <c r="AV41" s="15" t="str">
        <f t="shared" si="38"/>
        <v/>
      </c>
      <c r="AW41" s="15" t="str">
        <f t="shared" si="38"/>
        <v/>
      </c>
      <c r="AX41" s="15" t="str">
        <f t="shared" si="38"/>
        <v/>
      </c>
      <c r="AY41" s="15" t="str">
        <f t="shared" si="38"/>
        <v/>
      </c>
    </row>
    <row r="42" ht="12.0" customHeight="1">
      <c r="A42" s="12">
        <f t="shared" si="1"/>
        <v>17</v>
      </c>
      <c r="B42" s="13">
        <f t="shared" si="2"/>
        <v>29</v>
      </c>
      <c r="C42" s="12">
        <f t="shared" si="3"/>
        <v>2.32</v>
      </c>
      <c r="D42" s="12">
        <f t="shared" si="4"/>
        <v>0.6444444444</v>
      </c>
      <c r="E42" s="12">
        <f t="shared" si="5"/>
        <v>13.58874442</v>
      </c>
      <c r="F42" s="12">
        <f t="shared" si="6"/>
        <v>101.9155832</v>
      </c>
      <c r="G42" s="12">
        <f t="shared" si="7"/>
        <v>16.98593053</v>
      </c>
      <c r="H42" s="12">
        <f t="shared" si="8"/>
        <v>1</v>
      </c>
      <c r="I42" s="12">
        <f t="shared" si="9"/>
        <v>18</v>
      </c>
      <c r="J42" s="12">
        <f t="shared" si="10"/>
        <v>9.5</v>
      </c>
      <c r="L42" s="15" t="str">
        <f t="shared" ref="L42:AY42" si="39">IF(L$13="","",IF(AND(L$13&gt;$H41,L$13&lt;=$I41),IF(AND(MOD($B$6,2)=1,L$13=ROUNDUP($J41,0)),"0",IF(L$13=INT($H41)+1,ROUNDDOWN(ABS(L$13-$J41),0),IF(L$13=INT($I41),ROUNDUP(ABS(L$13-$J41),0),""))),""))</f>
        <v/>
      </c>
      <c r="M42" s="15">
        <f t="shared" si="39"/>
        <v>7</v>
      </c>
      <c r="N42" s="15" t="str">
        <f t="shared" si="39"/>
        <v/>
      </c>
      <c r="O42" s="15" t="str">
        <f t="shared" si="39"/>
        <v/>
      </c>
      <c r="P42" s="15" t="str">
        <f t="shared" si="39"/>
        <v/>
      </c>
      <c r="Q42" s="15" t="str">
        <f t="shared" si="39"/>
        <v/>
      </c>
      <c r="R42" s="15" t="str">
        <f t="shared" si="39"/>
        <v/>
      </c>
      <c r="S42" s="15" t="str">
        <f t="shared" si="39"/>
        <v/>
      </c>
      <c r="T42" s="15" t="str">
        <f t="shared" si="39"/>
        <v/>
      </c>
      <c r="U42" s="15" t="str">
        <f t="shared" si="39"/>
        <v/>
      </c>
      <c r="V42" s="15" t="str">
        <f t="shared" si="39"/>
        <v/>
      </c>
      <c r="W42" s="15" t="str">
        <f t="shared" si="39"/>
        <v/>
      </c>
      <c r="X42" s="15" t="str">
        <f t="shared" si="39"/>
        <v/>
      </c>
      <c r="Y42" s="15" t="str">
        <f t="shared" si="39"/>
        <v/>
      </c>
      <c r="Z42" s="15" t="str">
        <f t="shared" si="39"/>
        <v/>
      </c>
      <c r="AA42" s="15" t="str">
        <f t="shared" si="39"/>
        <v/>
      </c>
      <c r="AB42" s="15">
        <f t="shared" si="39"/>
        <v>8</v>
      </c>
      <c r="AC42" s="15" t="str">
        <f t="shared" si="39"/>
        <v/>
      </c>
      <c r="AD42" s="15" t="str">
        <f t="shared" si="39"/>
        <v/>
      </c>
      <c r="AE42" s="15" t="str">
        <f t="shared" si="39"/>
        <v/>
      </c>
      <c r="AF42" s="15" t="str">
        <f t="shared" si="39"/>
        <v/>
      </c>
      <c r="AG42" s="15" t="str">
        <f t="shared" si="39"/>
        <v/>
      </c>
      <c r="AH42" s="15" t="str">
        <f t="shared" si="39"/>
        <v/>
      </c>
      <c r="AI42" s="15" t="str">
        <f t="shared" si="39"/>
        <v/>
      </c>
      <c r="AJ42" s="15" t="str">
        <f t="shared" si="39"/>
        <v/>
      </c>
      <c r="AK42" s="15" t="str">
        <f t="shared" si="39"/>
        <v/>
      </c>
      <c r="AL42" s="15" t="str">
        <f t="shared" si="39"/>
        <v/>
      </c>
      <c r="AM42" s="15" t="str">
        <f t="shared" si="39"/>
        <v/>
      </c>
      <c r="AN42" s="15" t="str">
        <f t="shared" si="39"/>
        <v/>
      </c>
      <c r="AO42" s="15" t="str">
        <f t="shared" si="39"/>
        <v/>
      </c>
      <c r="AP42" s="15" t="str">
        <f t="shared" si="39"/>
        <v/>
      </c>
      <c r="AQ42" s="15" t="str">
        <f t="shared" si="39"/>
        <v/>
      </c>
      <c r="AR42" s="15" t="str">
        <f t="shared" si="39"/>
        <v/>
      </c>
      <c r="AS42" s="15" t="str">
        <f t="shared" si="39"/>
        <v/>
      </c>
      <c r="AT42" s="15" t="str">
        <f t="shared" si="39"/>
        <v/>
      </c>
      <c r="AU42" s="15" t="str">
        <f t="shared" si="39"/>
        <v/>
      </c>
      <c r="AV42" s="15" t="str">
        <f t="shared" si="39"/>
        <v/>
      </c>
      <c r="AW42" s="15" t="str">
        <f t="shared" si="39"/>
        <v/>
      </c>
      <c r="AX42" s="15" t="str">
        <f t="shared" si="39"/>
        <v/>
      </c>
      <c r="AY42" s="15" t="str">
        <f t="shared" si="39"/>
        <v/>
      </c>
    </row>
    <row r="43" ht="12.0" customHeight="1">
      <c r="A43" s="12">
        <f t="shared" si="1"/>
        <v>17</v>
      </c>
      <c r="B43" s="13">
        <f t="shared" si="2"/>
        <v>30</v>
      </c>
      <c r="C43" s="12">
        <f t="shared" si="3"/>
        <v>2.4</v>
      </c>
      <c r="D43" s="12">
        <f t="shared" si="4"/>
        <v>0.6666666667</v>
      </c>
      <c r="E43" s="12">
        <f t="shared" si="5"/>
        <v>13.98719542</v>
      </c>
      <c r="F43" s="12">
        <f t="shared" si="6"/>
        <v>104.9039656</v>
      </c>
      <c r="G43" s="12">
        <f t="shared" si="7"/>
        <v>17.48399427</v>
      </c>
      <c r="H43" s="12">
        <f t="shared" si="8"/>
        <v>1</v>
      </c>
      <c r="I43" s="12">
        <f t="shared" si="9"/>
        <v>18</v>
      </c>
      <c r="J43" s="12">
        <f t="shared" si="10"/>
        <v>9.5</v>
      </c>
      <c r="L43" s="15" t="str">
        <f t="shared" ref="L43:AY43" si="40">IF(L$13="","",IF(AND(L$13&gt;$H42,L$13&lt;=$I42),IF(AND(MOD($B$6,2)=1,L$13=ROUNDUP($J42,0)),"0",IF(L$13=INT($H42)+1,ROUNDDOWN(ABS(L$13-$J42),0),IF(L$13=INT($I42),ROUNDUP(ABS(L$13-$J42),0),""))),""))</f>
        <v/>
      </c>
      <c r="M43" s="15">
        <f t="shared" si="40"/>
        <v>7</v>
      </c>
      <c r="N43" s="15" t="str">
        <f t="shared" si="40"/>
        <v/>
      </c>
      <c r="O43" s="15" t="str">
        <f t="shared" si="40"/>
        <v/>
      </c>
      <c r="P43" s="15" t="str">
        <f t="shared" si="40"/>
        <v/>
      </c>
      <c r="Q43" s="15" t="str">
        <f t="shared" si="40"/>
        <v/>
      </c>
      <c r="R43" s="15" t="str">
        <f t="shared" si="40"/>
        <v/>
      </c>
      <c r="S43" s="15" t="str">
        <f t="shared" si="40"/>
        <v/>
      </c>
      <c r="T43" s="15" t="str">
        <f t="shared" si="40"/>
        <v/>
      </c>
      <c r="U43" s="15" t="str">
        <f t="shared" si="40"/>
        <v/>
      </c>
      <c r="V43" s="15" t="str">
        <f t="shared" si="40"/>
        <v/>
      </c>
      <c r="W43" s="15" t="str">
        <f t="shared" si="40"/>
        <v/>
      </c>
      <c r="X43" s="15" t="str">
        <f t="shared" si="40"/>
        <v/>
      </c>
      <c r="Y43" s="15" t="str">
        <f t="shared" si="40"/>
        <v/>
      </c>
      <c r="Z43" s="15" t="str">
        <f t="shared" si="40"/>
        <v/>
      </c>
      <c r="AA43" s="15" t="str">
        <f t="shared" si="40"/>
        <v/>
      </c>
      <c r="AB43" s="15" t="str">
        <f t="shared" si="40"/>
        <v/>
      </c>
      <c r="AC43" s="15">
        <f t="shared" si="40"/>
        <v>9</v>
      </c>
      <c r="AD43" s="15" t="str">
        <f t="shared" si="40"/>
        <v/>
      </c>
      <c r="AE43" s="15" t="str">
        <f t="shared" si="40"/>
        <v/>
      </c>
      <c r="AF43" s="15" t="str">
        <f t="shared" si="40"/>
        <v/>
      </c>
      <c r="AG43" s="15" t="str">
        <f t="shared" si="40"/>
        <v/>
      </c>
      <c r="AH43" s="15" t="str">
        <f t="shared" si="40"/>
        <v/>
      </c>
      <c r="AI43" s="15" t="str">
        <f t="shared" si="40"/>
        <v/>
      </c>
      <c r="AJ43" s="15" t="str">
        <f t="shared" si="40"/>
        <v/>
      </c>
      <c r="AK43" s="15" t="str">
        <f t="shared" si="40"/>
        <v/>
      </c>
      <c r="AL43" s="15" t="str">
        <f t="shared" si="40"/>
        <v/>
      </c>
      <c r="AM43" s="15" t="str">
        <f t="shared" si="40"/>
        <v/>
      </c>
      <c r="AN43" s="15" t="str">
        <f t="shared" si="40"/>
        <v/>
      </c>
      <c r="AO43" s="15" t="str">
        <f t="shared" si="40"/>
        <v/>
      </c>
      <c r="AP43" s="15" t="str">
        <f t="shared" si="40"/>
        <v/>
      </c>
      <c r="AQ43" s="15" t="str">
        <f t="shared" si="40"/>
        <v/>
      </c>
      <c r="AR43" s="15" t="str">
        <f t="shared" si="40"/>
        <v/>
      </c>
      <c r="AS43" s="15" t="str">
        <f t="shared" si="40"/>
        <v/>
      </c>
      <c r="AT43" s="15" t="str">
        <f t="shared" si="40"/>
        <v/>
      </c>
      <c r="AU43" s="15" t="str">
        <f t="shared" si="40"/>
        <v/>
      </c>
      <c r="AV43" s="15" t="str">
        <f t="shared" si="40"/>
        <v/>
      </c>
      <c r="AW43" s="15" t="str">
        <f t="shared" si="40"/>
        <v/>
      </c>
      <c r="AX43" s="15" t="str">
        <f t="shared" si="40"/>
        <v/>
      </c>
      <c r="AY43" s="15" t="str">
        <f t="shared" si="40"/>
        <v/>
      </c>
    </row>
    <row r="44" ht="12.0" customHeight="1">
      <c r="A44" s="12">
        <f t="shared" si="1"/>
        <v>18</v>
      </c>
      <c r="B44" s="13">
        <f t="shared" si="2"/>
        <v>31</v>
      </c>
      <c r="C44" s="12">
        <f t="shared" si="3"/>
        <v>2.48</v>
      </c>
      <c r="D44" s="12">
        <f t="shared" si="4"/>
        <v>0.6888888889</v>
      </c>
      <c r="E44" s="12">
        <f t="shared" si="5"/>
        <v>14.37873944</v>
      </c>
      <c r="F44" s="12">
        <f t="shared" si="6"/>
        <v>107.8405458</v>
      </c>
      <c r="G44" s="12">
        <f t="shared" si="7"/>
        <v>17.97342431</v>
      </c>
      <c r="H44" s="12">
        <f t="shared" si="8"/>
        <v>0.5</v>
      </c>
      <c r="I44" s="12">
        <f t="shared" si="9"/>
        <v>18.5</v>
      </c>
      <c r="J44" s="12">
        <f t="shared" si="10"/>
        <v>9.5</v>
      </c>
      <c r="L44" s="15" t="str">
        <f t="shared" ref="L44:AY44" si="41">IF(L$13="","",IF(AND(L$13&gt;$H43,L$13&lt;=$I43),IF(AND(MOD($B$6,2)=1,L$13=ROUNDUP($J43,0)),"0",IF(L$13=INT($H43)+1,ROUNDDOWN(ABS(L$13-$J43),0),IF(L$13=INT($I43),ROUNDUP(ABS(L$13-$J43),0),""))),""))</f>
        <v/>
      </c>
      <c r="M44" s="15">
        <f t="shared" si="41"/>
        <v>7</v>
      </c>
      <c r="N44" s="15" t="str">
        <f t="shared" si="41"/>
        <v/>
      </c>
      <c r="O44" s="15" t="str">
        <f t="shared" si="41"/>
        <v/>
      </c>
      <c r="P44" s="15" t="str">
        <f t="shared" si="41"/>
        <v/>
      </c>
      <c r="Q44" s="15" t="str">
        <f t="shared" si="41"/>
        <v/>
      </c>
      <c r="R44" s="15" t="str">
        <f t="shared" si="41"/>
        <v/>
      </c>
      <c r="S44" s="15" t="str">
        <f t="shared" si="41"/>
        <v/>
      </c>
      <c r="T44" s="15" t="str">
        <f t="shared" si="41"/>
        <v/>
      </c>
      <c r="U44" s="15" t="str">
        <f t="shared" si="41"/>
        <v/>
      </c>
      <c r="V44" s="15" t="str">
        <f t="shared" si="41"/>
        <v/>
      </c>
      <c r="W44" s="15" t="str">
        <f t="shared" si="41"/>
        <v/>
      </c>
      <c r="X44" s="15" t="str">
        <f t="shared" si="41"/>
        <v/>
      </c>
      <c r="Y44" s="15" t="str">
        <f t="shared" si="41"/>
        <v/>
      </c>
      <c r="Z44" s="15" t="str">
        <f t="shared" si="41"/>
        <v/>
      </c>
      <c r="AA44" s="15" t="str">
        <f t="shared" si="41"/>
        <v/>
      </c>
      <c r="AB44" s="15" t="str">
        <f t="shared" si="41"/>
        <v/>
      </c>
      <c r="AC44" s="15">
        <f t="shared" si="41"/>
        <v>9</v>
      </c>
      <c r="AD44" s="15" t="str">
        <f t="shared" si="41"/>
        <v/>
      </c>
      <c r="AE44" s="15" t="str">
        <f t="shared" si="41"/>
        <v/>
      </c>
      <c r="AF44" s="15" t="str">
        <f t="shared" si="41"/>
        <v/>
      </c>
      <c r="AG44" s="15" t="str">
        <f t="shared" si="41"/>
        <v/>
      </c>
      <c r="AH44" s="15" t="str">
        <f t="shared" si="41"/>
        <v/>
      </c>
      <c r="AI44" s="15" t="str">
        <f t="shared" si="41"/>
        <v/>
      </c>
      <c r="AJ44" s="15" t="str">
        <f t="shared" si="41"/>
        <v/>
      </c>
      <c r="AK44" s="15" t="str">
        <f t="shared" si="41"/>
        <v/>
      </c>
      <c r="AL44" s="15" t="str">
        <f t="shared" si="41"/>
        <v/>
      </c>
      <c r="AM44" s="15" t="str">
        <f t="shared" si="41"/>
        <v/>
      </c>
      <c r="AN44" s="15" t="str">
        <f t="shared" si="41"/>
        <v/>
      </c>
      <c r="AO44" s="15" t="str">
        <f t="shared" si="41"/>
        <v/>
      </c>
      <c r="AP44" s="15" t="str">
        <f t="shared" si="41"/>
        <v/>
      </c>
      <c r="AQ44" s="15" t="str">
        <f t="shared" si="41"/>
        <v/>
      </c>
      <c r="AR44" s="15" t="str">
        <f t="shared" si="41"/>
        <v/>
      </c>
      <c r="AS44" s="15" t="str">
        <f t="shared" si="41"/>
        <v/>
      </c>
      <c r="AT44" s="15" t="str">
        <f t="shared" si="41"/>
        <v/>
      </c>
      <c r="AU44" s="15" t="str">
        <f t="shared" si="41"/>
        <v/>
      </c>
      <c r="AV44" s="15" t="str">
        <f t="shared" si="41"/>
        <v/>
      </c>
      <c r="AW44" s="15" t="str">
        <f t="shared" si="41"/>
        <v/>
      </c>
      <c r="AX44" s="15" t="str">
        <f t="shared" si="41"/>
        <v/>
      </c>
      <c r="AY44" s="15" t="str">
        <f t="shared" si="41"/>
        <v/>
      </c>
    </row>
    <row r="45" ht="12.0" customHeight="1">
      <c r="A45" s="12">
        <f t="shared" si="1"/>
        <v>18</v>
      </c>
      <c r="B45" s="13">
        <f t="shared" si="2"/>
        <v>32</v>
      </c>
      <c r="C45" s="12">
        <f t="shared" si="3"/>
        <v>2.56</v>
      </c>
      <c r="D45" s="12">
        <f t="shared" si="4"/>
        <v>0.7111111111</v>
      </c>
      <c r="E45" s="12">
        <f t="shared" si="5"/>
        <v>14.76318315</v>
      </c>
      <c r="F45" s="12">
        <f t="shared" si="6"/>
        <v>110.7238736</v>
      </c>
      <c r="G45" s="12">
        <f t="shared" si="7"/>
        <v>18.45397894</v>
      </c>
      <c r="H45" s="12">
        <f t="shared" si="8"/>
        <v>0.5</v>
      </c>
      <c r="I45" s="12">
        <f t="shared" si="9"/>
        <v>18.5</v>
      </c>
      <c r="J45" s="12">
        <f t="shared" si="10"/>
        <v>9.5</v>
      </c>
      <c r="L45" s="15">
        <f t="shared" ref="L45:AY45" si="42">IF(L$13="","",IF(AND(L$13&gt;$H44,L$13&lt;=$I44),IF(AND(MOD($B$6,2)=1,L$13=ROUNDUP($J44,0)),"0",IF(L$13=INT($H44)+1,ROUNDDOWN(ABS(L$13-$J44),0),IF(L$13=INT($I44),ROUNDUP(ABS(L$13-$J44),0),""))),""))</f>
        <v>8</v>
      </c>
      <c r="M45" s="15" t="str">
        <f t="shared" si="42"/>
        <v/>
      </c>
      <c r="N45" s="15" t="str">
        <f t="shared" si="42"/>
        <v/>
      </c>
      <c r="O45" s="15" t="str">
        <f t="shared" si="42"/>
        <v/>
      </c>
      <c r="P45" s="15" t="str">
        <f t="shared" si="42"/>
        <v/>
      </c>
      <c r="Q45" s="15" t="str">
        <f t="shared" si="42"/>
        <v/>
      </c>
      <c r="R45" s="15" t="str">
        <f t="shared" si="42"/>
        <v/>
      </c>
      <c r="S45" s="15" t="str">
        <f t="shared" si="42"/>
        <v/>
      </c>
      <c r="T45" s="15" t="str">
        <f t="shared" si="42"/>
        <v/>
      </c>
      <c r="U45" s="15" t="str">
        <f t="shared" si="42"/>
        <v/>
      </c>
      <c r="V45" s="15" t="str">
        <f t="shared" si="42"/>
        <v/>
      </c>
      <c r="W45" s="15" t="str">
        <f t="shared" si="42"/>
        <v/>
      </c>
      <c r="X45" s="15" t="str">
        <f t="shared" si="42"/>
        <v/>
      </c>
      <c r="Y45" s="15" t="str">
        <f t="shared" si="42"/>
        <v/>
      </c>
      <c r="Z45" s="15" t="str">
        <f t="shared" si="42"/>
        <v/>
      </c>
      <c r="AA45" s="15" t="str">
        <f t="shared" si="42"/>
        <v/>
      </c>
      <c r="AB45" s="15" t="str">
        <f t="shared" si="42"/>
        <v/>
      </c>
      <c r="AC45" s="15">
        <f t="shared" si="42"/>
        <v>9</v>
      </c>
      <c r="AD45" s="15" t="str">
        <f t="shared" si="42"/>
        <v/>
      </c>
      <c r="AE45" s="15" t="str">
        <f t="shared" si="42"/>
        <v/>
      </c>
      <c r="AF45" s="15" t="str">
        <f t="shared" si="42"/>
        <v/>
      </c>
      <c r="AG45" s="15" t="str">
        <f t="shared" si="42"/>
        <v/>
      </c>
      <c r="AH45" s="15" t="str">
        <f t="shared" si="42"/>
        <v/>
      </c>
      <c r="AI45" s="15" t="str">
        <f t="shared" si="42"/>
        <v/>
      </c>
      <c r="AJ45" s="15" t="str">
        <f t="shared" si="42"/>
        <v/>
      </c>
      <c r="AK45" s="15" t="str">
        <f t="shared" si="42"/>
        <v/>
      </c>
      <c r="AL45" s="15" t="str">
        <f t="shared" si="42"/>
        <v/>
      </c>
      <c r="AM45" s="15" t="str">
        <f t="shared" si="42"/>
        <v/>
      </c>
      <c r="AN45" s="15" t="str">
        <f t="shared" si="42"/>
        <v/>
      </c>
      <c r="AO45" s="15" t="str">
        <f t="shared" si="42"/>
        <v/>
      </c>
      <c r="AP45" s="15" t="str">
        <f t="shared" si="42"/>
        <v/>
      </c>
      <c r="AQ45" s="15" t="str">
        <f t="shared" si="42"/>
        <v/>
      </c>
      <c r="AR45" s="15" t="str">
        <f t="shared" si="42"/>
        <v/>
      </c>
      <c r="AS45" s="15" t="str">
        <f t="shared" si="42"/>
        <v/>
      </c>
      <c r="AT45" s="15" t="str">
        <f t="shared" si="42"/>
        <v/>
      </c>
      <c r="AU45" s="15" t="str">
        <f t="shared" si="42"/>
        <v/>
      </c>
      <c r="AV45" s="15" t="str">
        <f t="shared" si="42"/>
        <v/>
      </c>
      <c r="AW45" s="15" t="str">
        <f t="shared" si="42"/>
        <v/>
      </c>
      <c r="AX45" s="15" t="str">
        <f t="shared" si="42"/>
        <v/>
      </c>
      <c r="AY45" s="15" t="str">
        <f t="shared" si="42"/>
        <v/>
      </c>
    </row>
    <row r="46" ht="12.0" customHeight="1">
      <c r="A46" s="12">
        <f t="shared" si="1"/>
        <v>19</v>
      </c>
      <c r="B46" s="13">
        <f t="shared" si="2"/>
        <v>33</v>
      </c>
      <c r="C46" s="12">
        <f t="shared" si="3"/>
        <v>2.64</v>
      </c>
      <c r="D46" s="12">
        <f t="shared" si="4"/>
        <v>0.7333333333</v>
      </c>
      <c r="E46" s="12">
        <f t="shared" si="5"/>
        <v>15.14033669</v>
      </c>
      <c r="F46" s="12">
        <f t="shared" si="6"/>
        <v>113.5525252</v>
      </c>
      <c r="G46" s="12">
        <f t="shared" si="7"/>
        <v>18.92542087</v>
      </c>
      <c r="H46" s="12">
        <f t="shared" si="8"/>
        <v>0</v>
      </c>
      <c r="I46" s="12">
        <f t="shared" si="9"/>
        <v>19</v>
      </c>
      <c r="J46" s="12">
        <f t="shared" si="10"/>
        <v>9.5</v>
      </c>
      <c r="L46" s="15">
        <f t="shared" ref="L46:AY46" si="43">IF(L$13="","",IF(AND(L$13&gt;$H45,L$13&lt;=$I45),IF(AND(MOD($B$6,2)=1,L$13=ROUNDUP($J45,0)),"0",IF(L$13=INT($H45)+1,ROUNDDOWN(ABS(L$13-$J45),0),IF(L$13=INT($I45),ROUNDUP(ABS(L$13-$J45),0),""))),""))</f>
        <v>8</v>
      </c>
      <c r="M46" s="15" t="str">
        <f t="shared" si="43"/>
        <v/>
      </c>
      <c r="N46" s="15" t="str">
        <f t="shared" si="43"/>
        <v/>
      </c>
      <c r="O46" s="15" t="str">
        <f t="shared" si="43"/>
        <v/>
      </c>
      <c r="P46" s="15" t="str">
        <f t="shared" si="43"/>
        <v/>
      </c>
      <c r="Q46" s="15" t="str">
        <f t="shared" si="43"/>
        <v/>
      </c>
      <c r="R46" s="15" t="str">
        <f t="shared" si="43"/>
        <v/>
      </c>
      <c r="S46" s="15" t="str">
        <f t="shared" si="43"/>
        <v/>
      </c>
      <c r="T46" s="15" t="str">
        <f t="shared" si="43"/>
        <v/>
      </c>
      <c r="U46" s="15" t="str">
        <f t="shared" si="43"/>
        <v/>
      </c>
      <c r="V46" s="15" t="str">
        <f t="shared" si="43"/>
        <v/>
      </c>
      <c r="W46" s="15" t="str">
        <f t="shared" si="43"/>
        <v/>
      </c>
      <c r="X46" s="15" t="str">
        <f t="shared" si="43"/>
        <v/>
      </c>
      <c r="Y46" s="15" t="str">
        <f t="shared" si="43"/>
        <v/>
      </c>
      <c r="Z46" s="15" t="str">
        <f t="shared" si="43"/>
        <v/>
      </c>
      <c r="AA46" s="15" t="str">
        <f t="shared" si="43"/>
        <v/>
      </c>
      <c r="AB46" s="15" t="str">
        <f t="shared" si="43"/>
        <v/>
      </c>
      <c r="AC46" s="15">
        <f t="shared" si="43"/>
        <v>9</v>
      </c>
      <c r="AD46" s="15" t="str">
        <f t="shared" si="43"/>
        <v/>
      </c>
      <c r="AE46" s="15" t="str">
        <f t="shared" si="43"/>
        <v/>
      </c>
      <c r="AF46" s="15" t="str">
        <f t="shared" si="43"/>
        <v/>
      </c>
      <c r="AG46" s="15" t="str">
        <f t="shared" si="43"/>
        <v/>
      </c>
      <c r="AH46" s="15" t="str">
        <f t="shared" si="43"/>
        <v/>
      </c>
      <c r="AI46" s="15" t="str">
        <f t="shared" si="43"/>
        <v/>
      </c>
      <c r="AJ46" s="15" t="str">
        <f t="shared" si="43"/>
        <v/>
      </c>
      <c r="AK46" s="15" t="str">
        <f t="shared" si="43"/>
        <v/>
      </c>
      <c r="AL46" s="15" t="str">
        <f t="shared" si="43"/>
        <v/>
      </c>
      <c r="AM46" s="15" t="str">
        <f t="shared" si="43"/>
        <v/>
      </c>
      <c r="AN46" s="15" t="str">
        <f t="shared" si="43"/>
        <v/>
      </c>
      <c r="AO46" s="15" t="str">
        <f t="shared" si="43"/>
        <v/>
      </c>
      <c r="AP46" s="15" t="str">
        <f t="shared" si="43"/>
        <v/>
      </c>
      <c r="AQ46" s="15" t="str">
        <f t="shared" si="43"/>
        <v/>
      </c>
      <c r="AR46" s="15" t="str">
        <f t="shared" si="43"/>
        <v/>
      </c>
      <c r="AS46" s="15" t="str">
        <f t="shared" si="43"/>
        <v/>
      </c>
      <c r="AT46" s="15" t="str">
        <f t="shared" si="43"/>
        <v/>
      </c>
      <c r="AU46" s="15" t="str">
        <f t="shared" si="43"/>
        <v/>
      </c>
      <c r="AV46" s="15" t="str">
        <f t="shared" si="43"/>
        <v/>
      </c>
      <c r="AW46" s="15" t="str">
        <f t="shared" si="43"/>
        <v/>
      </c>
      <c r="AX46" s="15" t="str">
        <f t="shared" si="43"/>
        <v/>
      </c>
      <c r="AY46" s="15" t="str">
        <f t="shared" si="43"/>
        <v/>
      </c>
    </row>
    <row r="47" ht="12.0" customHeight="1">
      <c r="A47" s="12">
        <f t="shared" si="1"/>
        <v>19</v>
      </c>
      <c r="B47" s="13">
        <f t="shared" si="2"/>
        <v>34</v>
      </c>
      <c r="C47" s="12">
        <f t="shared" si="3"/>
        <v>2.72</v>
      </c>
      <c r="D47" s="12">
        <f t="shared" si="4"/>
        <v>0.7555555556</v>
      </c>
      <c r="E47" s="12">
        <f t="shared" si="5"/>
        <v>15.51001384</v>
      </c>
      <c r="F47" s="12">
        <f t="shared" si="6"/>
        <v>116.3251038</v>
      </c>
      <c r="G47" s="12">
        <f t="shared" si="7"/>
        <v>19.3875173</v>
      </c>
      <c r="H47" s="12">
        <f t="shared" si="8"/>
        <v>0</v>
      </c>
      <c r="I47" s="12">
        <f t="shared" si="9"/>
        <v>19</v>
      </c>
      <c r="J47" s="12">
        <f t="shared" si="10"/>
        <v>9.5</v>
      </c>
      <c r="L47" s="15">
        <f t="shared" ref="L47:AY47" si="44">IF(L$13="","",IF(AND(L$13&gt;$H46,L$13&lt;=$I46),IF(AND(MOD($B$6,2)=1,L$13=ROUNDUP($J46,0)),"0",IF(L$13=INT($H46)+1,ROUNDDOWN(ABS(L$13-$J46),0),IF(L$13=INT($I46),ROUNDUP(ABS(L$13-$J46),0),""))),""))</f>
        <v>8</v>
      </c>
      <c r="M47" s="15" t="str">
        <f t="shared" si="44"/>
        <v/>
      </c>
      <c r="N47" s="15" t="str">
        <f t="shared" si="44"/>
        <v/>
      </c>
      <c r="O47" s="15" t="str">
        <f t="shared" si="44"/>
        <v/>
      </c>
      <c r="P47" s="15" t="str">
        <f t="shared" si="44"/>
        <v/>
      </c>
      <c r="Q47" s="15" t="str">
        <f t="shared" si="44"/>
        <v/>
      </c>
      <c r="R47" s="15" t="str">
        <f t="shared" si="44"/>
        <v/>
      </c>
      <c r="S47" s="15" t="str">
        <f t="shared" si="44"/>
        <v/>
      </c>
      <c r="T47" s="15" t="str">
        <f t="shared" si="44"/>
        <v/>
      </c>
      <c r="U47" s="15" t="str">
        <f t="shared" si="44"/>
        <v/>
      </c>
      <c r="V47" s="15" t="str">
        <f t="shared" si="44"/>
        <v/>
      </c>
      <c r="W47" s="15" t="str">
        <f t="shared" si="44"/>
        <v/>
      </c>
      <c r="X47" s="15" t="str">
        <f t="shared" si="44"/>
        <v/>
      </c>
      <c r="Y47" s="15" t="str">
        <f t="shared" si="44"/>
        <v/>
      </c>
      <c r="Z47" s="15" t="str">
        <f t="shared" si="44"/>
        <v/>
      </c>
      <c r="AA47" s="15" t="str">
        <f t="shared" si="44"/>
        <v/>
      </c>
      <c r="AB47" s="15" t="str">
        <f t="shared" si="44"/>
        <v/>
      </c>
      <c r="AC47" s="15" t="str">
        <f t="shared" si="44"/>
        <v/>
      </c>
      <c r="AD47" s="15" t="str">
        <f t="shared" si="44"/>
        <v/>
      </c>
      <c r="AE47" s="15" t="str">
        <f t="shared" si="44"/>
        <v/>
      </c>
      <c r="AF47" s="15" t="str">
        <f t="shared" si="44"/>
        <v/>
      </c>
      <c r="AG47" s="15" t="str">
        <f t="shared" si="44"/>
        <v/>
      </c>
      <c r="AH47" s="15" t="str">
        <f t="shared" si="44"/>
        <v/>
      </c>
      <c r="AI47" s="15" t="str">
        <f t="shared" si="44"/>
        <v/>
      </c>
      <c r="AJ47" s="15" t="str">
        <f t="shared" si="44"/>
        <v/>
      </c>
      <c r="AK47" s="15" t="str">
        <f t="shared" si="44"/>
        <v/>
      </c>
      <c r="AL47" s="15" t="str">
        <f t="shared" si="44"/>
        <v/>
      </c>
      <c r="AM47" s="15" t="str">
        <f t="shared" si="44"/>
        <v/>
      </c>
      <c r="AN47" s="15" t="str">
        <f t="shared" si="44"/>
        <v/>
      </c>
      <c r="AO47" s="15" t="str">
        <f t="shared" si="44"/>
        <v/>
      </c>
      <c r="AP47" s="15" t="str">
        <f t="shared" si="44"/>
        <v/>
      </c>
      <c r="AQ47" s="15" t="str">
        <f t="shared" si="44"/>
        <v/>
      </c>
      <c r="AR47" s="15" t="str">
        <f t="shared" si="44"/>
        <v/>
      </c>
      <c r="AS47" s="15" t="str">
        <f t="shared" si="44"/>
        <v/>
      </c>
      <c r="AT47" s="15" t="str">
        <f t="shared" si="44"/>
        <v/>
      </c>
      <c r="AU47" s="15" t="str">
        <f t="shared" si="44"/>
        <v/>
      </c>
      <c r="AV47" s="15" t="str">
        <f t="shared" si="44"/>
        <v/>
      </c>
      <c r="AW47" s="15" t="str">
        <f t="shared" si="44"/>
        <v/>
      </c>
      <c r="AX47" s="15" t="str">
        <f t="shared" si="44"/>
        <v/>
      </c>
      <c r="AY47" s="15" t="str">
        <f t="shared" si="44"/>
        <v/>
      </c>
    </row>
    <row r="48" ht="12.0" customHeight="1">
      <c r="A48" s="12">
        <f t="shared" si="1"/>
        <v>20</v>
      </c>
      <c r="B48" s="13">
        <f t="shared" si="2"/>
        <v>35</v>
      </c>
      <c r="C48" s="12">
        <f t="shared" si="3"/>
        <v>2.8</v>
      </c>
      <c r="D48" s="12">
        <f t="shared" si="4"/>
        <v>0.7777777778</v>
      </c>
      <c r="E48" s="12">
        <f t="shared" si="5"/>
        <v>15.87203203</v>
      </c>
      <c r="F48" s="12">
        <f t="shared" si="6"/>
        <v>119.0402402</v>
      </c>
      <c r="G48" s="12">
        <f t="shared" si="7"/>
        <v>19.84004003</v>
      </c>
      <c r="H48" s="12">
        <f t="shared" si="8"/>
        <v>-0.5</v>
      </c>
      <c r="I48" s="12">
        <f t="shared" si="9"/>
        <v>19.5</v>
      </c>
      <c r="J48" s="12">
        <f t="shared" si="10"/>
        <v>9.5</v>
      </c>
      <c r="L48" s="15">
        <f t="shared" ref="L48:AY48" si="45">IF(L$13="","",IF(AND(L$13&gt;$H47,L$13&lt;=$I47),IF(AND(MOD($B$6,2)=1,L$13=ROUNDUP($J47,0)),"0",IF(L$13=INT($H47)+1,ROUNDDOWN(ABS(L$13-$J47),0),IF(L$13=INT($I47),ROUNDUP(ABS(L$13-$J47),0),""))),""))</f>
        <v>8</v>
      </c>
      <c r="M48" s="15" t="str">
        <f t="shared" si="45"/>
        <v/>
      </c>
      <c r="N48" s="15" t="str">
        <f t="shared" si="45"/>
        <v/>
      </c>
      <c r="O48" s="15" t="str">
        <f t="shared" si="45"/>
        <v/>
      </c>
      <c r="P48" s="15" t="str">
        <f t="shared" si="45"/>
        <v/>
      </c>
      <c r="Q48" s="15" t="str">
        <f t="shared" si="45"/>
        <v/>
      </c>
      <c r="R48" s="15" t="str">
        <f t="shared" si="45"/>
        <v/>
      </c>
      <c r="S48" s="15" t="str">
        <f t="shared" si="45"/>
        <v/>
      </c>
      <c r="T48" s="15" t="str">
        <f t="shared" si="45"/>
        <v/>
      </c>
      <c r="U48" s="15" t="str">
        <f t="shared" si="45"/>
        <v/>
      </c>
      <c r="V48" s="15" t="str">
        <f t="shared" si="45"/>
        <v/>
      </c>
      <c r="W48" s="15" t="str">
        <f t="shared" si="45"/>
        <v/>
      </c>
      <c r="X48" s="15" t="str">
        <f t="shared" si="45"/>
        <v/>
      </c>
      <c r="Y48" s="15" t="str">
        <f t="shared" si="45"/>
        <v/>
      </c>
      <c r="Z48" s="15" t="str">
        <f t="shared" si="45"/>
        <v/>
      </c>
      <c r="AA48" s="15" t="str">
        <f t="shared" si="45"/>
        <v/>
      </c>
      <c r="AB48" s="15" t="str">
        <f t="shared" si="45"/>
        <v/>
      </c>
      <c r="AC48" s="15" t="str">
        <f t="shared" si="45"/>
        <v/>
      </c>
      <c r="AD48" s="15" t="str">
        <f t="shared" si="45"/>
        <v/>
      </c>
      <c r="AE48" s="15" t="str">
        <f t="shared" si="45"/>
        <v/>
      </c>
      <c r="AF48" s="15" t="str">
        <f t="shared" si="45"/>
        <v/>
      </c>
      <c r="AG48" s="15" t="str">
        <f t="shared" si="45"/>
        <v/>
      </c>
      <c r="AH48" s="15" t="str">
        <f t="shared" si="45"/>
        <v/>
      </c>
      <c r="AI48" s="15" t="str">
        <f t="shared" si="45"/>
        <v/>
      </c>
      <c r="AJ48" s="15" t="str">
        <f t="shared" si="45"/>
        <v/>
      </c>
      <c r="AK48" s="15" t="str">
        <f t="shared" si="45"/>
        <v/>
      </c>
      <c r="AL48" s="15" t="str">
        <f t="shared" si="45"/>
        <v/>
      </c>
      <c r="AM48" s="15" t="str">
        <f t="shared" si="45"/>
        <v/>
      </c>
      <c r="AN48" s="15" t="str">
        <f t="shared" si="45"/>
        <v/>
      </c>
      <c r="AO48" s="15" t="str">
        <f t="shared" si="45"/>
        <v/>
      </c>
      <c r="AP48" s="15" t="str">
        <f t="shared" si="45"/>
        <v/>
      </c>
      <c r="AQ48" s="15" t="str">
        <f t="shared" si="45"/>
        <v/>
      </c>
      <c r="AR48" s="15" t="str">
        <f t="shared" si="45"/>
        <v/>
      </c>
      <c r="AS48" s="15" t="str">
        <f t="shared" si="45"/>
        <v/>
      </c>
      <c r="AT48" s="15" t="str">
        <f t="shared" si="45"/>
        <v/>
      </c>
      <c r="AU48" s="15" t="str">
        <f t="shared" si="45"/>
        <v/>
      </c>
      <c r="AV48" s="15" t="str">
        <f t="shared" si="45"/>
        <v/>
      </c>
      <c r="AW48" s="15" t="str">
        <f t="shared" si="45"/>
        <v/>
      </c>
      <c r="AX48" s="15" t="str">
        <f t="shared" si="45"/>
        <v/>
      </c>
      <c r="AY48" s="15" t="str">
        <f t="shared" si="45"/>
        <v/>
      </c>
    </row>
    <row r="49" ht="12.0" customHeight="1">
      <c r="A49" s="12">
        <f t="shared" si="1"/>
        <v>20</v>
      </c>
      <c r="B49" s="13">
        <f t="shared" si="2"/>
        <v>36</v>
      </c>
      <c r="C49" s="12">
        <f t="shared" si="3"/>
        <v>2.88</v>
      </c>
      <c r="D49" s="12">
        <f t="shared" si="4"/>
        <v>0.8</v>
      </c>
      <c r="E49" s="12">
        <f t="shared" si="5"/>
        <v>16.2262125</v>
      </c>
      <c r="F49" s="12">
        <f t="shared" si="6"/>
        <v>121.6965938</v>
      </c>
      <c r="G49" s="12">
        <f t="shared" si="7"/>
        <v>20.28276563</v>
      </c>
      <c r="H49" s="12">
        <f t="shared" si="8"/>
        <v>-0.5</v>
      </c>
      <c r="I49" s="12">
        <f t="shared" si="9"/>
        <v>19.5</v>
      </c>
      <c r="J49" s="12">
        <f t="shared" si="10"/>
        <v>9.5</v>
      </c>
      <c r="L49" s="15" t="str">
        <f t="shared" ref="L49:AY49" si="46">IF(L$13="","",IF(AND(L$13&gt;$H48,L$13&lt;=$I48),IF(AND(MOD($B$6,2)=1,L$13=ROUNDUP($J48,0)),"0",IF(L$13=INT($H48)+1,ROUNDDOWN(ABS(L$13-$J48),0),IF(L$13=INT($I48),ROUNDUP(ABS(L$13-$J48),0),""))),""))</f>
        <v/>
      </c>
      <c r="M49" s="15" t="str">
        <f t="shared" si="46"/>
        <v/>
      </c>
      <c r="N49" s="15" t="str">
        <f t="shared" si="46"/>
        <v/>
      </c>
      <c r="O49" s="15" t="str">
        <f t="shared" si="46"/>
        <v/>
      </c>
      <c r="P49" s="15" t="str">
        <f t="shared" si="46"/>
        <v/>
      </c>
      <c r="Q49" s="15" t="str">
        <f t="shared" si="46"/>
        <v/>
      </c>
      <c r="R49" s="15" t="str">
        <f t="shared" si="46"/>
        <v/>
      </c>
      <c r="S49" s="15" t="str">
        <f t="shared" si="46"/>
        <v/>
      </c>
      <c r="T49" s="15" t="str">
        <f t="shared" si="46"/>
        <v/>
      </c>
      <c r="U49" s="15" t="str">
        <f t="shared" si="46"/>
        <v/>
      </c>
      <c r="V49" s="15" t="str">
        <f t="shared" si="46"/>
        <v/>
      </c>
      <c r="W49" s="15" t="str">
        <f t="shared" si="46"/>
        <v/>
      </c>
      <c r="X49" s="15" t="str">
        <f t="shared" si="46"/>
        <v/>
      </c>
      <c r="Y49" s="15" t="str">
        <f t="shared" si="46"/>
        <v/>
      </c>
      <c r="Z49" s="15" t="str">
        <f t="shared" si="46"/>
        <v/>
      </c>
      <c r="AA49" s="15" t="str">
        <f t="shared" si="46"/>
        <v/>
      </c>
      <c r="AB49" s="15" t="str">
        <f t="shared" si="46"/>
        <v/>
      </c>
      <c r="AC49" s="15" t="str">
        <f t="shared" si="46"/>
        <v/>
      </c>
      <c r="AD49" s="15" t="str">
        <f t="shared" si="46"/>
        <v/>
      </c>
      <c r="AE49" s="15" t="str">
        <f t="shared" si="46"/>
        <v/>
      </c>
      <c r="AF49" s="15" t="str">
        <f t="shared" si="46"/>
        <v/>
      </c>
      <c r="AG49" s="15" t="str">
        <f t="shared" si="46"/>
        <v/>
      </c>
      <c r="AH49" s="15" t="str">
        <f t="shared" si="46"/>
        <v/>
      </c>
      <c r="AI49" s="15" t="str">
        <f t="shared" si="46"/>
        <v/>
      </c>
      <c r="AJ49" s="15" t="str">
        <f t="shared" si="46"/>
        <v/>
      </c>
      <c r="AK49" s="15" t="str">
        <f t="shared" si="46"/>
        <v/>
      </c>
      <c r="AL49" s="15" t="str">
        <f t="shared" si="46"/>
        <v/>
      </c>
      <c r="AM49" s="15" t="str">
        <f t="shared" si="46"/>
        <v/>
      </c>
      <c r="AN49" s="15" t="str">
        <f t="shared" si="46"/>
        <v/>
      </c>
      <c r="AO49" s="15" t="str">
        <f t="shared" si="46"/>
        <v/>
      </c>
      <c r="AP49" s="15" t="str">
        <f t="shared" si="46"/>
        <v/>
      </c>
      <c r="AQ49" s="15" t="str">
        <f t="shared" si="46"/>
        <v/>
      </c>
      <c r="AR49" s="15" t="str">
        <f t="shared" si="46"/>
        <v/>
      </c>
      <c r="AS49" s="15" t="str">
        <f t="shared" si="46"/>
        <v/>
      </c>
      <c r="AT49" s="15" t="str">
        <f t="shared" si="46"/>
        <v/>
      </c>
      <c r="AU49" s="15" t="str">
        <f t="shared" si="46"/>
        <v/>
      </c>
      <c r="AV49" s="15" t="str">
        <f t="shared" si="46"/>
        <v/>
      </c>
      <c r="AW49" s="15" t="str">
        <f t="shared" si="46"/>
        <v/>
      </c>
      <c r="AX49" s="15" t="str">
        <f t="shared" si="46"/>
        <v/>
      </c>
      <c r="AY49" s="15" t="str">
        <f t="shared" si="46"/>
        <v/>
      </c>
    </row>
    <row r="50" ht="12.0" customHeight="1">
      <c r="A50" s="12">
        <f t="shared" si="1"/>
        <v>21</v>
      </c>
      <c r="B50" s="13">
        <f t="shared" si="2"/>
        <v>37</v>
      </c>
      <c r="C50" s="12">
        <f t="shared" si="3"/>
        <v>2.96</v>
      </c>
      <c r="D50" s="12">
        <f t="shared" si="4"/>
        <v>0.8222222222</v>
      </c>
      <c r="E50" s="12">
        <f t="shared" si="5"/>
        <v>16.57238036</v>
      </c>
      <c r="F50" s="12">
        <f t="shared" si="6"/>
        <v>124.2928527</v>
      </c>
      <c r="G50" s="12">
        <f t="shared" si="7"/>
        <v>20.71547545</v>
      </c>
      <c r="H50" s="12">
        <f t="shared" si="8"/>
        <v>-1</v>
      </c>
      <c r="I50" s="12">
        <f t="shared" si="9"/>
        <v>20</v>
      </c>
      <c r="J50" s="12">
        <f t="shared" si="10"/>
        <v>9.5</v>
      </c>
      <c r="L50" s="15" t="str">
        <f t="shared" ref="L50:AY50" si="47">IF(L$13="","",IF(AND(L$13&gt;$H49,L$13&lt;=$I49),IF(AND(MOD($B$6,2)=1,L$13=ROUNDUP($J49,0)),"0",IF(L$13=INT($H49)+1,ROUNDDOWN(ABS(L$13-$J49),0),IF(L$13=INT($I49),ROUNDUP(ABS(L$13-$J49),0),""))),""))</f>
        <v/>
      </c>
      <c r="M50" s="15" t="str">
        <f t="shared" si="47"/>
        <v/>
      </c>
      <c r="N50" s="15" t="str">
        <f t="shared" si="47"/>
        <v/>
      </c>
      <c r="O50" s="15" t="str">
        <f t="shared" si="47"/>
        <v/>
      </c>
      <c r="P50" s="15" t="str">
        <f t="shared" si="47"/>
        <v/>
      </c>
      <c r="Q50" s="15" t="str">
        <f t="shared" si="47"/>
        <v/>
      </c>
      <c r="R50" s="15" t="str">
        <f t="shared" si="47"/>
        <v/>
      </c>
      <c r="S50" s="15" t="str">
        <f t="shared" si="47"/>
        <v/>
      </c>
      <c r="T50" s="15" t="str">
        <f t="shared" si="47"/>
        <v/>
      </c>
      <c r="U50" s="15" t="str">
        <f t="shared" si="47"/>
        <v/>
      </c>
      <c r="V50" s="15" t="str">
        <f t="shared" si="47"/>
        <v/>
      </c>
      <c r="W50" s="15" t="str">
        <f t="shared" si="47"/>
        <v/>
      </c>
      <c r="X50" s="15" t="str">
        <f t="shared" si="47"/>
        <v/>
      </c>
      <c r="Y50" s="15" t="str">
        <f t="shared" si="47"/>
        <v/>
      </c>
      <c r="Z50" s="15" t="str">
        <f t="shared" si="47"/>
        <v/>
      </c>
      <c r="AA50" s="15" t="str">
        <f t="shared" si="47"/>
        <v/>
      </c>
      <c r="AB50" s="15" t="str">
        <f t="shared" si="47"/>
        <v/>
      </c>
      <c r="AC50" s="15" t="str">
        <f t="shared" si="47"/>
        <v/>
      </c>
      <c r="AD50" s="15" t="str">
        <f t="shared" si="47"/>
        <v/>
      </c>
      <c r="AE50" s="15" t="str">
        <f t="shared" si="47"/>
        <v/>
      </c>
      <c r="AF50" s="15" t="str">
        <f t="shared" si="47"/>
        <v/>
      </c>
      <c r="AG50" s="15" t="str">
        <f t="shared" si="47"/>
        <v/>
      </c>
      <c r="AH50" s="15" t="str">
        <f t="shared" si="47"/>
        <v/>
      </c>
      <c r="AI50" s="15" t="str">
        <f t="shared" si="47"/>
        <v/>
      </c>
      <c r="AJ50" s="15" t="str">
        <f t="shared" si="47"/>
        <v/>
      </c>
      <c r="AK50" s="15" t="str">
        <f t="shared" si="47"/>
        <v/>
      </c>
      <c r="AL50" s="15" t="str">
        <f t="shared" si="47"/>
        <v/>
      </c>
      <c r="AM50" s="15" t="str">
        <f t="shared" si="47"/>
        <v/>
      </c>
      <c r="AN50" s="15" t="str">
        <f t="shared" si="47"/>
        <v/>
      </c>
      <c r="AO50" s="15" t="str">
        <f t="shared" si="47"/>
        <v/>
      </c>
      <c r="AP50" s="15" t="str">
        <f t="shared" si="47"/>
        <v/>
      </c>
      <c r="AQ50" s="15" t="str">
        <f t="shared" si="47"/>
        <v/>
      </c>
      <c r="AR50" s="15" t="str">
        <f t="shared" si="47"/>
        <v/>
      </c>
      <c r="AS50" s="15" t="str">
        <f t="shared" si="47"/>
        <v/>
      </c>
      <c r="AT50" s="15" t="str">
        <f t="shared" si="47"/>
        <v/>
      </c>
      <c r="AU50" s="15" t="str">
        <f t="shared" si="47"/>
        <v/>
      </c>
      <c r="AV50" s="15" t="str">
        <f t="shared" si="47"/>
        <v/>
      </c>
      <c r="AW50" s="15" t="str">
        <f t="shared" si="47"/>
        <v/>
      </c>
      <c r="AX50" s="15" t="str">
        <f t="shared" si="47"/>
        <v/>
      </c>
      <c r="AY50" s="15" t="str">
        <f t="shared" si="47"/>
        <v/>
      </c>
    </row>
    <row r="51" ht="12.0" customHeight="1">
      <c r="A51" s="12">
        <f t="shared" si="1"/>
        <v>21</v>
      </c>
      <c r="B51" s="13">
        <f t="shared" si="2"/>
        <v>38</v>
      </c>
      <c r="C51" s="12">
        <f t="shared" si="3"/>
        <v>3.04</v>
      </c>
      <c r="D51" s="12">
        <f t="shared" si="4"/>
        <v>0.8444444444</v>
      </c>
      <c r="E51" s="12">
        <f t="shared" si="5"/>
        <v>16.91036466</v>
      </c>
      <c r="F51" s="12">
        <f t="shared" si="6"/>
        <v>126.827735</v>
      </c>
      <c r="G51" s="12">
        <f t="shared" si="7"/>
        <v>21.13795583</v>
      </c>
      <c r="H51" s="12">
        <f t="shared" si="8"/>
        <v>-1</v>
      </c>
      <c r="I51" s="12">
        <f t="shared" si="9"/>
        <v>20</v>
      </c>
      <c r="J51" s="12">
        <f t="shared" si="10"/>
        <v>9.5</v>
      </c>
      <c r="L51" s="15" t="str">
        <f t="shared" ref="L51:AY51" si="48">IF(L$13="","",IF(AND(L$13&gt;$H50,L$13&lt;=$I50),IF(AND(MOD($B$6,2)=1,L$13=ROUNDUP($J50,0)),"0",IF(L$13=INT($H50)+1,ROUNDDOWN(ABS(L$13-$J50),0),IF(L$13=INT($I50),ROUNDUP(ABS(L$13-$J50),0),""))),""))</f>
        <v/>
      </c>
      <c r="M51" s="15" t="str">
        <f t="shared" si="48"/>
        <v/>
      </c>
      <c r="N51" s="15" t="str">
        <f t="shared" si="48"/>
        <v/>
      </c>
      <c r="O51" s="15" t="str">
        <f t="shared" si="48"/>
        <v/>
      </c>
      <c r="P51" s="15" t="str">
        <f t="shared" si="48"/>
        <v/>
      </c>
      <c r="Q51" s="15" t="str">
        <f t="shared" si="48"/>
        <v/>
      </c>
      <c r="R51" s="15" t="str">
        <f t="shared" si="48"/>
        <v/>
      </c>
      <c r="S51" s="15" t="str">
        <f t="shared" si="48"/>
        <v/>
      </c>
      <c r="T51" s="15" t="str">
        <f t="shared" si="48"/>
        <v/>
      </c>
      <c r="U51" s="15" t="str">
        <f t="shared" si="48"/>
        <v/>
      </c>
      <c r="V51" s="15" t="str">
        <f t="shared" si="48"/>
        <v/>
      </c>
      <c r="W51" s="15" t="str">
        <f t="shared" si="48"/>
        <v/>
      </c>
      <c r="X51" s="15" t="str">
        <f t="shared" si="48"/>
        <v/>
      </c>
      <c r="Y51" s="15" t="str">
        <f t="shared" si="48"/>
        <v/>
      </c>
      <c r="Z51" s="15" t="str">
        <f t="shared" si="48"/>
        <v/>
      </c>
      <c r="AA51" s="15" t="str">
        <f t="shared" si="48"/>
        <v/>
      </c>
      <c r="AB51" s="15" t="str">
        <f t="shared" si="48"/>
        <v/>
      </c>
      <c r="AC51" s="15" t="str">
        <f t="shared" si="48"/>
        <v/>
      </c>
      <c r="AD51" s="15" t="str">
        <f t="shared" si="48"/>
        <v/>
      </c>
      <c r="AE51" s="15" t="str">
        <f t="shared" si="48"/>
        <v/>
      </c>
      <c r="AF51" s="15" t="str">
        <f t="shared" si="48"/>
        <v/>
      </c>
      <c r="AG51" s="15" t="str">
        <f t="shared" si="48"/>
        <v/>
      </c>
      <c r="AH51" s="15" t="str">
        <f t="shared" si="48"/>
        <v/>
      </c>
      <c r="AI51" s="15" t="str">
        <f t="shared" si="48"/>
        <v/>
      </c>
      <c r="AJ51" s="15" t="str">
        <f t="shared" si="48"/>
        <v/>
      </c>
      <c r="AK51" s="15" t="str">
        <f t="shared" si="48"/>
        <v/>
      </c>
      <c r="AL51" s="15" t="str">
        <f t="shared" si="48"/>
        <v/>
      </c>
      <c r="AM51" s="15" t="str">
        <f t="shared" si="48"/>
        <v/>
      </c>
      <c r="AN51" s="15" t="str">
        <f t="shared" si="48"/>
        <v/>
      </c>
      <c r="AO51" s="15" t="str">
        <f t="shared" si="48"/>
        <v/>
      </c>
      <c r="AP51" s="15" t="str">
        <f t="shared" si="48"/>
        <v/>
      </c>
      <c r="AQ51" s="15" t="str">
        <f t="shared" si="48"/>
        <v/>
      </c>
      <c r="AR51" s="15" t="str">
        <f t="shared" si="48"/>
        <v/>
      </c>
      <c r="AS51" s="15" t="str">
        <f t="shared" si="48"/>
        <v/>
      </c>
      <c r="AT51" s="15" t="str">
        <f t="shared" si="48"/>
        <v/>
      </c>
      <c r="AU51" s="15" t="str">
        <f t="shared" si="48"/>
        <v/>
      </c>
      <c r="AV51" s="15" t="str">
        <f t="shared" si="48"/>
        <v/>
      </c>
      <c r="AW51" s="15" t="str">
        <f t="shared" si="48"/>
        <v/>
      </c>
      <c r="AX51" s="15" t="str">
        <f t="shared" si="48"/>
        <v/>
      </c>
      <c r="AY51" s="15" t="str">
        <f t="shared" si="48"/>
        <v/>
      </c>
    </row>
    <row r="52" ht="12.0" customHeight="1">
      <c r="A52" s="12">
        <f t="shared" si="1"/>
        <v>22</v>
      </c>
      <c r="B52" s="13">
        <f t="shared" si="2"/>
        <v>39</v>
      </c>
      <c r="C52" s="12">
        <f t="shared" si="3"/>
        <v>3.12</v>
      </c>
      <c r="D52" s="12">
        <f t="shared" si="4"/>
        <v>0.8666666667</v>
      </c>
      <c r="E52" s="12">
        <f t="shared" si="5"/>
        <v>17.23999851</v>
      </c>
      <c r="F52" s="12">
        <f t="shared" si="6"/>
        <v>129.2999889</v>
      </c>
      <c r="G52" s="12">
        <f t="shared" si="7"/>
        <v>21.54999814</v>
      </c>
      <c r="H52" s="12">
        <f t="shared" si="8"/>
        <v>-1.5</v>
      </c>
      <c r="I52" s="12">
        <f t="shared" si="9"/>
        <v>20.5</v>
      </c>
      <c r="J52" s="12">
        <f t="shared" si="10"/>
        <v>9.5</v>
      </c>
      <c r="L52" s="15" t="str">
        <f t="shared" ref="L52:AY52" si="49">IF(L$13="","",IF(AND(L$13&gt;$H51,L$13&lt;=$I51),IF(AND(MOD($B$6,2)=1,L$13=ROUNDUP($J51,0)),"0",IF(L$13=INT($H51)+1,ROUNDDOWN(ABS(L$13-$J51),0),IF(L$13=INT($I51),ROUNDUP(ABS(L$13-$J51),0),""))),""))</f>
        <v/>
      </c>
      <c r="M52" s="15" t="str">
        <f t="shared" si="49"/>
        <v/>
      </c>
      <c r="N52" s="15" t="str">
        <f t="shared" si="49"/>
        <v/>
      </c>
      <c r="O52" s="15" t="str">
        <f t="shared" si="49"/>
        <v/>
      </c>
      <c r="P52" s="15" t="str">
        <f t="shared" si="49"/>
        <v/>
      </c>
      <c r="Q52" s="15" t="str">
        <f t="shared" si="49"/>
        <v/>
      </c>
      <c r="R52" s="15" t="str">
        <f t="shared" si="49"/>
        <v/>
      </c>
      <c r="S52" s="15" t="str">
        <f t="shared" si="49"/>
        <v/>
      </c>
      <c r="T52" s="15" t="str">
        <f t="shared" si="49"/>
        <v/>
      </c>
      <c r="U52" s="15" t="str">
        <f t="shared" si="49"/>
        <v/>
      </c>
      <c r="V52" s="15" t="str">
        <f t="shared" si="49"/>
        <v/>
      </c>
      <c r="W52" s="15" t="str">
        <f t="shared" si="49"/>
        <v/>
      </c>
      <c r="X52" s="15" t="str">
        <f t="shared" si="49"/>
        <v/>
      </c>
      <c r="Y52" s="15" t="str">
        <f t="shared" si="49"/>
        <v/>
      </c>
      <c r="Z52" s="15" t="str">
        <f t="shared" si="49"/>
        <v/>
      </c>
      <c r="AA52" s="15" t="str">
        <f t="shared" si="49"/>
        <v/>
      </c>
      <c r="AB52" s="15" t="str">
        <f t="shared" si="49"/>
        <v/>
      </c>
      <c r="AC52" s="15" t="str">
        <f t="shared" si="49"/>
        <v/>
      </c>
      <c r="AD52" s="15" t="str">
        <f t="shared" si="49"/>
        <v/>
      </c>
      <c r="AE52" s="15" t="str">
        <f t="shared" si="49"/>
        <v/>
      </c>
      <c r="AF52" s="15" t="str">
        <f t="shared" si="49"/>
        <v/>
      </c>
      <c r="AG52" s="15" t="str">
        <f t="shared" si="49"/>
        <v/>
      </c>
      <c r="AH52" s="15" t="str">
        <f t="shared" si="49"/>
        <v/>
      </c>
      <c r="AI52" s="15" t="str">
        <f t="shared" si="49"/>
        <v/>
      </c>
      <c r="AJ52" s="15" t="str">
        <f t="shared" si="49"/>
        <v/>
      </c>
      <c r="AK52" s="15" t="str">
        <f t="shared" si="49"/>
        <v/>
      </c>
      <c r="AL52" s="15" t="str">
        <f t="shared" si="49"/>
        <v/>
      </c>
      <c r="AM52" s="15" t="str">
        <f t="shared" si="49"/>
        <v/>
      </c>
      <c r="AN52" s="15" t="str">
        <f t="shared" si="49"/>
        <v/>
      </c>
      <c r="AO52" s="15" t="str">
        <f t="shared" si="49"/>
        <v/>
      </c>
      <c r="AP52" s="15" t="str">
        <f t="shared" si="49"/>
        <v/>
      </c>
      <c r="AQ52" s="15" t="str">
        <f t="shared" si="49"/>
        <v/>
      </c>
      <c r="AR52" s="15" t="str">
        <f t="shared" si="49"/>
        <v/>
      </c>
      <c r="AS52" s="15" t="str">
        <f t="shared" si="49"/>
        <v/>
      </c>
      <c r="AT52" s="15" t="str">
        <f t="shared" si="49"/>
        <v/>
      </c>
      <c r="AU52" s="15" t="str">
        <f t="shared" si="49"/>
        <v/>
      </c>
      <c r="AV52" s="15" t="str">
        <f t="shared" si="49"/>
        <v/>
      </c>
      <c r="AW52" s="15" t="str">
        <f t="shared" si="49"/>
        <v/>
      </c>
      <c r="AX52" s="15" t="str">
        <f t="shared" si="49"/>
        <v/>
      </c>
      <c r="AY52" s="15" t="str">
        <f t="shared" si="49"/>
        <v/>
      </c>
    </row>
    <row r="53" ht="12.0" customHeight="1">
      <c r="A53" s="12">
        <f t="shared" si="1"/>
        <v>22</v>
      </c>
      <c r="B53" s="13">
        <f t="shared" si="2"/>
        <v>40</v>
      </c>
      <c r="C53" s="12">
        <f t="shared" si="3"/>
        <v>3.2</v>
      </c>
      <c r="D53" s="12">
        <f t="shared" si="4"/>
        <v>0.8888888889</v>
      </c>
      <c r="E53" s="12">
        <f t="shared" si="5"/>
        <v>17.56111914</v>
      </c>
      <c r="F53" s="12">
        <f t="shared" si="6"/>
        <v>131.7083935</v>
      </c>
      <c r="G53" s="12">
        <f t="shared" si="7"/>
        <v>21.95139892</v>
      </c>
      <c r="H53" s="12">
        <f t="shared" si="8"/>
        <v>-1.5</v>
      </c>
      <c r="I53" s="12">
        <f t="shared" si="9"/>
        <v>20.5</v>
      </c>
      <c r="J53" s="12">
        <f t="shared" si="10"/>
        <v>9.5</v>
      </c>
      <c r="L53" s="15" t="str">
        <f t="shared" ref="L53:AY53" si="50">IF(L$13="","",IF(AND(L$13&gt;$H52,L$13&lt;=$I52),IF(AND(MOD($B$6,2)=1,L$13=ROUNDUP($J52,0)),"0",IF(L$13=INT($H52)+1,ROUNDDOWN(ABS(L$13-$J52),0),IF(L$13=INT($I52),ROUNDUP(ABS(L$13-$J52),0),""))),""))</f>
        <v/>
      </c>
      <c r="M53" s="15" t="str">
        <f t="shared" si="50"/>
        <v/>
      </c>
      <c r="N53" s="15" t="str">
        <f t="shared" si="50"/>
        <v/>
      </c>
      <c r="O53" s="15" t="str">
        <f t="shared" si="50"/>
        <v/>
      </c>
      <c r="P53" s="15" t="str">
        <f t="shared" si="50"/>
        <v/>
      </c>
      <c r="Q53" s="15" t="str">
        <f t="shared" si="50"/>
        <v/>
      </c>
      <c r="R53" s="15" t="str">
        <f t="shared" si="50"/>
        <v/>
      </c>
      <c r="S53" s="15" t="str">
        <f t="shared" si="50"/>
        <v/>
      </c>
      <c r="T53" s="15" t="str">
        <f t="shared" si="50"/>
        <v/>
      </c>
      <c r="U53" s="15" t="str">
        <f t="shared" si="50"/>
        <v/>
      </c>
      <c r="V53" s="15" t="str">
        <f t="shared" si="50"/>
        <v/>
      </c>
      <c r="W53" s="15" t="str">
        <f t="shared" si="50"/>
        <v/>
      </c>
      <c r="X53" s="15" t="str">
        <f t="shared" si="50"/>
        <v/>
      </c>
      <c r="Y53" s="15" t="str">
        <f t="shared" si="50"/>
        <v/>
      </c>
      <c r="Z53" s="15" t="str">
        <f t="shared" si="50"/>
        <v/>
      </c>
      <c r="AA53" s="15" t="str">
        <f t="shared" si="50"/>
        <v/>
      </c>
      <c r="AB53" s="15" t="str">
        <f t="shared" si="50"/>
        <v/>
      </c>
      <c r="AC53" s="15" t="str">
        <f t="shared" si="50"/>
        <v/>
      </c>
      <c r="AD53" s="15" t="str">
        <f t="shared" si="50"/>
        <v/>
      </c>
      <c r="AE53" s="15" t="str">
        <f t="shared" si="50"/>
        <v/>
      </c>
      <c r="AF53" s="15" t="str">
        <f t="shared" si="50"/>
        <v/>
      </c>
      <c r="AG53" s="15" t="str">
        <f t="shared" si="50"/>
        <v/>
      </c>
      <c r="AH53" s="15" t="str">
        <f t="shared" si="50"/>
        <v/>
      </c>
      <c r="AI53" s="15" t="str">
        <f t="shared" si="50"/>
        <v/>
      </c>
      <c r="AJ53" s="15" t="str">
        <f t="shared" si="50"/>
        <v/>
      </c>
      <c r="AK53" s="15" t="str">
        <f t="shared" si="50"/>
        <v/>
      </c>
      <c r="AL53" s="15" t="str">
        <f t="shared" si="50"/>
        <v/>
      </c>
      <c r="AM53" s="15" t="str">
        <f t="shared" si="50"/>
        <v/>
      </c>
      <c r="AN53" s="15" t="str">
        <f t="shared" si="50"/>
        <v/>
      </c>
      <c r="AO53" s="15" t="str">
        <f t="shared" si="50"/>
        <v/>
      </c>
      <c r="AP53" s="15" t="str">
        <f t="shared" si="50"/>
        <v/>
      </c>
      <c r="AQ53" s="15" t="str">
        <f t="shared" si="50"/>
        <v/>
      </c>
      <c r="AR53" s="15" t="str">
        <f t="shared" si="50"/>
        <v/>
      </c>
      <c r="AS53" s="15" t="str">
        <f t="shared" si="50"/>
        <v/>
      </c>
      <c r="AT53" s="15" t="str">
        <f t="shared" si="50"/>
        <v/>
      </c>
      <c r="AU53" s="15" t="str">
        <f t="shared" si="50"/>
        <v/>
      </c>
      <c r="AV53" s="15" t="str">
        <f t="shared" si="50"/>
        <v/>
      </c>
      <c r="AW53" s="15" t="str">
        <f t="shared" si="50"/>
        <v/>
      </c>
      <c r="AX53" s="15" t="str">
        <f t="shared" si="50"/>
        <v/>
      </c>
      <c r="AY53" s="15" t="str">
        <f t="shared" si="50"/>
        <v/>
      </c>
    </row>
    <row r="54" ht="12.0" customHeight="1">
      <c r="A54" s="12">
        <f t="shared" si="1"/>
        <v>22</v>
      </c>
      <c r="B54" s="13">
        <f t="shared" si="2"/>
        <v>41</v>
      </c>
      <c r="C54" s="12">
        <f t="shared" si="3"/>
        <v>3.28</v>
      </c>
      <c r="D54" s="12">
        <f t="shared" si="4"/>
        <v>0.9111111111</v>
      </c>
      <c r="E54" s="12">
        <f t="shared" si="5"/>
        <v>17.87356796</v>
      </c>
      <c r="F54" s="12">
        <f t="shared" si="6"/>
        <v>134.0517597</v>
      </c>
      <c r="G54" s="12">
        <f t="shared" si="7"/>
        <v>22.34195995</v>
      </c>
      <c r="H54" s="12">
        <f t="shared" si="8"/>
        <v>-1.5</v>
      </c>
      <c r="I54" s="12">
        <f t="shared" si="9"/>
        <v>20.5</v>
      </c>
      <c r="J54" s="12">
        <f t="shared" si="10"/>
        <v>9.5</v>
      </c>
      <c r="L54" s="15" t="str">
        <f t="shared" ref="L54:AY54" si="51">IF(L$13="","",IF(AND(L$13&gt;$H53,L$13&lt;=$I53),IF(AND(MOD($B$6,2)=1,L$13=ROUNDUP($J53,0)),"0",IF(L$13=INT($H53)+1,ROUNDDOWN(ABS(L$13-$J53),0),IF(L$13=INT($I53),ROUNDUP(ABS(L$13-$J53),0),""))),""))</f>
        <v/>
      </c>
      <c r="M54" s="15" t="str">
        <f t="shared" si="51"/>
        <v/>
      </c>
      <c r="N54" s="15" t="str">
        <f t="shared" si="51"/>
        <v/>
      </c>
      <c r="O54" s="15" t="str">
        <f t="shared" si="51"/>
        <v/>
      </c>
      <c r="P54" s="15" t="str">
        <f t="shared" si="51"/>
        <v/>
      </c>
      <c r="Q54" s="15" t="str">
        <f t="shared" si="51"/>
        <v/>
      </c>
      <c r="R54" s="15" t="str">
        <f t="shared" si="51"/>
        <v/>
      </c>
      <c r="S54" s="15" t="str">
        <f t="shared" si="51"/>
        <v/>
      </c>
      <c r="T54" s="15" t="str">
        <f t="shared" si="51"/>
        <v/>
      </c>
      <c r="U54" s="15" t="str">
        <f t="shared" si="51"/>
        <v/>
      </c>
      <c r="V54" s="15" t="str">
        <f t="shared" si="51"/>
        <v/>
      </c>
      <c r="W54" s="15" t="str">
        <f t="shared" si="51"/>
        <v/>
      </c>
      <c r="X54" s="15" t="str">
        <f t="shared" si="51"/>
        <v/>
      </c>
      <c r="Y54" s="15" t="str">
        <f t="shared" si="51"/>
        <v/>
      </c>
      <c r="Z54" s="15" t="str">
        <f t="shared" si="51"/>
        <v/>
      </c>
      <c r="AA54" s="15" t="str">
        <f t="shared" si="51"/>
        <v/>
      </c>
      <c r="AB54" s="15" t="str">
        <f t="shared" si="51"/>
        <v/>
      </c>
      <c r="AC54" s="15" t="str">
        <f t="shared" si="51"/>
        <v/>
      </c>
      <c r="AD54" s="15" t="str">
        <f t="shared" si="51"/>
        <v/>
      </c>
      <c r="AE54" s="15" t="str">
        <f t="shared" si="51"/>
        <v/>
      </c>
      <c r="AF54" s="15" t="str">
        <f t="shared" si="51"/>
        <v/>
      </c>
      <c r="AG54" s="15" t="str">
        <f t="shared" si="51"/>
        <v/>
      </c>
      <c r="AH54" s="15" t="str">
        <f t="shared" si="51"/>
        <v/>
      </c>
      <c r="AI54" s="15" t="str">
        <f t="shared" si="51"/>
        <v/>
      </c>
      <c r="AJ54" s="15" t="str">
        <f t="shared" si="51"/>
        <v/>
      </c>
      <c r="AK54" s="15" t="str">
        <f t="shared" si="51"/>
        <v/>
      </c>
      <c r="AL54" s="15" t="str">
        <f t="shared" si="51"/>
        <v/>
      </c>
      <c r="AM54" s="15" t="str">
        <f t="shared" si="51"/>
        <v/>
      </c>
      <c r="AN54" s="15" t="str">
        <f t="shared" si="51"/>
        <v/>
      </c>
      <c r="AO54" s="15" t="str">
        <f t="shared" si="51"/>
        <v/>
      </c>
      <c r="AP54" s="15" t="str">
        <f t="shared" si="51"/>
        <v/>
      </c>
      <c r="AQ54" s="15" t="str">
        <f t="shared" si="51"/>
        <v/>
      </c>
      <c r="AR54" s="15" t="str">
        <f t="shared" si="51"/>
        <v/>
      </c>
      <c r="AS54" s="15" t="str">
        <f t="shared" si="51"/>
        <v/>
      </c>
      <c r="AT54" s="15" t="str">
        <f t="shared" si="51"/>
        <v/>
      </c>
      <c r="AU54" s="15" t="str">
        <f t="shared" si="51"/>
        <v/>
      </c>
      <c r="AV54" s="15" t="str">
        <f t="shared" si="51"/>
        <v/>
      </c>
      <c r="AW54" s="15" t="str">
        <f t="shared" si="51"/>
        <v/>
      </c>
      <c r="AX54" s="15" t="str">
        <f t="shared" si="51"/>
        <v/>
      </c>
      <c r="AY54" s="15" t="str">
        <f t="shared" si="51"/>
        <v/>
      </c>
    </row>
    <row r="55" ht="12.0" customHeight="1">
      <c r="A55" s="12">
        <f t="shared" si="1"/>
        <v>23</v>
      </c>
      <c r="B55" s="13">
        <f t="shared" si="2"/>
        <v>42</v>
      </c>
      <c r="C55" s="12">
        <f t="shared" si="3"/>
        <v>3.36</v>
      </c>
      <c r="D55" s="12">
        <f t="shared" si="4"/>
        <v>0.9333333333</v>
      </c>
      <c r="E55" s="12">
        <f t="shared" si="5"/>
        <v>18.17719069</v>
      </c>
      <c r="F55" s="12">
        <f t="shared" si="6"/>
        <v>136.3289301</v>
      </c>
      <c r="G55" s="12">
        <f t="shared" si="7"/>
        <v>22.72148836</v>
      </c>
      <c r="H55" s="12">
        <f t="shared" si="8"/>
        <v>-2</v>
      </c>
      <c r="I55" s="12">
        <f t="shared" si="9"/>
        <v>21</v>
      </c>
      <c r="J55" s="12">
        <f t="shared" si="10"/>
        <v>9.5</v>
      </c>
      <c r="L55" s="15" t="str">
        <f t="shared" ref="L55:AY55" si="52">IF(L$13="","",IF(AND(L$13&gt;$H54,L$13&lt;=$I54),IF(AND(MOD($B$6,2)=1,L$13=ROUNDUP($J54,0)),"0",IF(L$13=INT($H54)+1,ROUNDDOWN(ABS(L$13-$J54),0),IF(L$13=INT($I54),ROUNDUP(ABS(L$13-$J54),0),""))),""))</f>
        <v/>
      </c>
      <c r="M55" s="15" t="str">
        <f t="shared" si="52"/>
        <v/>
      </c>
      <c r="N55" s="15" t="str">
        <f t="shared" si="52"/>
        <v/>
      </c>
      <c r="O55" s="15" t="str">
        <f t="shared" si="52"/>
        <v/>
      </c>
      <c r="P55" s="15" t="str">
        <f t="shared" si="52"/>
        <v/>
      </c>
      <c r="Q55" s="15" t="str">
        <f t="shared" si="52"/>
        <v/>
      </c>
      <c r="R55" s="15" t="str">
        <f t="shared" si="52"/>
        <v/>
      </c>
      <c r="S55" s="15" t="str">
        <f t="shared" si="52"/>
        <v/>
      </c>
      <c r="T55" s="15" t="str">
        <f t="shared" si="52"/>
        <v/>
      </c>
      <c r="U55" s="15" t="str">
        <f t="shared" si="52"/>
        <v/>
      </c>
      <c r="V55" s="15" t="str">
        <f t="shared" si="52"/>
        <v/>
      </c>
      <c r="W55" s="15" t="str">
        <f t="shared" si="52"/>
        <v/>
      </c>
      <c r="X55" s="15" t="str">
        <f t="shared" si="52"/>
        <v/>
      </c>
      <c r="Y55" s="15" t="str">
        <f t="shared" si="52"/>
        <v/>
      </c>
      <c r="Z55" s="15" t="str">
        <f t="shared" si="52"/>
        <v/>
      </c>
      <c r="AA55" s="15" t="str">
        <f t="shared" si="52"/>
        <v/>
      </c>
      <c r="AB55" s="15" t="str">
        <f t="shared" si="52"/>
        <v/>
      </c>
      <c r="AC55" s="15" t="str">
        <f t="shared" si="52"/>
        <v/>
      </c>
      <c r="AD55" s="15" t="str">
        <f t="shared" si="52"/>
        <v/>
      </c>
      <c r="AE55" s="15" t="str">
        <f t="shared" si="52"/>
        <v/>
      </c>
      <c r="AF55" s="15" t="str">
        <f t="shared" si="52"/>
        <v/>
      </c>
      <c r="AG55" s="15" t="str">
        <f t="shared" si="52"/>
        <v/>
      </c>
      <c r="AH55" s="15" t="str">
        <f t="shared" si="52"/>
        <v/>
      </c>
      <c r="AI55" s="15" t="str">
        <f t="shared" si="52"/>
        <v/>
      </c>
      <c r="AJ55" s="15" t="str">
        <f t="shared" si="52"/>
        <v/>
      </c>
      <c r="AK55" s="15" t="str">
        <f t="shared" si="52"/>
        <v/>
      </c>
      <c r="AL55" s="15" t="str">
        <f t="shared" si="52"/>
        <v/>
      </c>
      <c r="AM55" s="15" t="str">
        <f t="shared" si="52"/>
        <v/>
      </c>
      <c r="AN55" s="15" t="str">
        <f t="shared" si="52"/>
        <v/>
      </c>
      <c r="AO55" s="15" t="str">
        <f t="shared" si="52"/>
        <v/>
      </c>
      <c r="AP55" s="15" t="str">
        <f t="shared" si="52"/>
        <v/>
      </c>
      <c r="AQ55" s="15" t="str">
        <f t="shared" si="52"/>
        <v/>
      </c>
      <c r="AR55" s="15" t="str">
        <f t="shared" si="52"/>
        <v/>
      </c>
      <c r="AS55" s="15" t="str">
        <f t="shared" si="52"/>
        <v/>
      </c>
      <c r="AT55" s="15" t="str">
        <f t="shared" si="52"/>
        <v/>
      </c>
      <c r="AU55" s="15" t="str">
        <f t="shared" si="52"/>
        <v/>
      </c>
      <c r="AV55" s="15" t="str">
        <f t="shared" si="52"/>
        <v/>
      </c>
      <c r="AW55" s="15" t="str">
        <f t="shared" si="52"/>
        <v/>
      </c>
      <c r="AX55" s="15" t="str">
        <f t="shared" si="52"/>
        <v/>
      </c>
      <c r="AY55" s="15" t="str">
        <f t="shared" si="52"/>
        <v/>
      </c>
    </row>
    <row r="56" ht="12.0" customHeight="1">
      <c r="A56" s="12">
        <f t="shared" si="1"/>
        <v>23</v>
      </c>
      <c r="B56" s="13">
        <f t="shared" si="2"/>
        <v>43</v>
      </c>
      <c r="C56" s="12">
        <f t="shared" si="3"/>
        <v>3.44</v>
      </c>
      <c r="D56" s="12">
        <f t="shared" si="4"/>
        <v>0.9555555556</v>
      </c>
      <c r="E56" s="12">
        <f t="shared" si="5"/>
        <v>18.4718374</v>
      </c>
      <c r="F56" s="12">
        <f t="shared" si="6"/>
        <v>138.5387805</v>
      </c>
      <c r="G56" s="12">
        <f t="shared" si="7"/>
        <v>23.08979674</v>
      </c>
      <c r="H56" s="12">
        <f t="shared" si="8"/>
        <v>-2</v>
      </c>
      <c r="I56" s="12">
        <f t="shared" si="9"/>
        <v>21</v>
      </c>
      <c r="J56" s="12">
        <f t="shared" si="10"/>
        <v>9.5</v>
      </c>
      <c r="L56" s="15" t="str">
        <f t="shared" ref="L56:AY56" si="53">IF(L$13="","",IF(AND(L$13&gt;$H55,L$13&lt;=$I55),IF(AND(MOD($B$6,2)=1,L$13=ROUNDUP($J55,0)),"0",IF(L$13=INT($H55)+1,ROUNDDOWN(ABS(L$13-$J55),0),IF(L$13=INT($I55),ROUNDUP(ABS(L$13-$J55),0),""))),""))</f>
        <v/>
      </c>
      <c r="M56" s="15" t="str">
        <f t="shared" si="53"/>
        <v/>
      </c>
      <c r="N56" s="15" t="str">
        <f t="shared" si="53"/>
        <v/>
      </c>
      <c r="O56" s="15" t="str">
        <f t="shared" si="53"/>
        <v/>
      </c>
      <c r="P56" s="15" t="str">
        <f t="shared" si="53"/>
        <v/>
      </c>
      <c r="Q56" s="15" t="str">
        <f t="shared" si="53"/>
        <v/>
      </c>
      <c r="R56" s="15" t="str">
        <f t="shared" si="53"/>
        <v/>
      </c>
      <c r="S56" s="15" t="str">
        <f t="shared" si="53"/>
        <v/>
      </c>
      <c r="T56" s="15" t="str">
        <f t="shared" si="53"/>
        <v/>
      </c>
      <c r="U56" s="15" t="str">
        <f t="shared" si="53"/>
        <v/>
      </c>
      <c r="V56" s="15" t="str">
        <f t="shared" si="53"/>
        <v/>
      </c>
      <c r="W56" s="15" t="str">
        <f t="shared" si="53"/>
        <v/>
      </c>
      <c r="X56" s="15" t="str">
        <f t="shared" si="53"/>
        <v/>
      </c>
      <c r="Y56" s="15" t="str">
        <f t="shared" si="53"/>
        <v/>
      </c>
      <c r="Z56" s="15" t="str">
        <f t="shared" si="53"/>
        <v/>
      </c>
      <c r="AA56" s="15" t="str">
        <f t="shared" si="53"/>
        <v/>
      </c>
      <c r="AB56" s="15" t="str">
        <f t="shared" si="53"/>
        <v/>
      </c>
      <c r="AC56" s="15" t="str">
        <f t="shared" si="53"/>
        <v/>
      </c>
      <c r="AD56" s="15" t="str">
        <f t="shared" si="53"/>
        <v/>
      </c>
      <c r="AE56" s="15" t="str">
        <f t="shared" si="53"/>
        <v/>
      </c>
      <c r="AF56" s="15" t="str">
        <f t="shared" si="53"/>
        <v/>
      </c>
      <c r="AG56" s="15" t="str">
        <f t="shared" si="53"/>
        <v/>
      </c>
      <c r="AH56" s="15" t="str">
        <f t="shared" si="53"/>
        <v/>
      </c>
      <c r="AI56" s="15" t="str">
        <f t="shared" si="53"/>
        <v/>
      </c>
      <c r="AJ56" s="15" t="str">
        <f t="shared" si="53"/>
        <v/>
      </c>
      <c r="AK56" s="15" t="str">
        <f t="shared" si="53"/>
        <v/>
      </c>
      <c r="AL56" s="15" t="str">
        <f t="shared" si="53"/>
        <v/>
      </c>
      <c r="AM56" s="15" t="str">
        <f t="shared" si="53"/>
        <v/>
      </c>
      <c r="AN56" s="15" t="str">
        <f t="shared" si="53"/>
        <v/>
      </c>
      <c r="AO56" s="15" t="str">
        <f t="shared" si="53"/>
        <v/>
      </c>
      <c r="AP56" s="15" t="str">
        <f t="shared" si="53"/>
        <v/>
      </c>
      <c r="AQ56" s="15" t="str">
        <f t="shared" si="53"/>
        <v/>
      </c>
      <c r="AR56" s="15" t="str">
        <f t="shared" si="53"/>
        <v/>
      </c>
      <c r="AS56" s="15" t="str">
        <f t="shared" si="53"/>
        <v/>
      </c>
      <c r="AT56" s="15" t="str">
        <f t="shared" si="53"/>
        <v/>
      </c>
      <c r="AU56" s="15" t="str">
        <f t="shared" si="53"/>
        <v/>
      </c>
      <c r="AV56" s="15" t="str">
        <f t="shared" si="53"/>
        <v/>
      </c>
      <c r="AW56" s="15" t="str">
        <f t="shared" si="53"/>
        <v/>
      </c>
      <c r="AX56" s="15" t="str">
        <f t="shared" si="53"/>
        <v/>
      </c>
      <c r="AY56" s="15" t="str">
        <f t="shared" si="53"/>
        <v/>
      </c>
    </row>
    <row r="57" ht="12.0" customHeight="1">
      <c r="A57" s="12">
        <f t="shared" si="1"/>
        <v>23</v>
      </c>
      <c r="B57" s="13">
        <f t="shared" si="2"/>
        <v>44</v>
      </c>
      <c r="C57" s="12">
        <f t="shared" si="3"/>
        <v>3.52</v>
      </c>
      <c r="D57" s="12">
        <f t="shared" si="4"/>
        <v>0.9777777778</v>
      </c>
      <c r="E57" s="12">
        <f t="shared" si="5"/>
        <v>18.75736259</v>
      </c>
      <c r="F57" s="12">
        <f t="shared" si="6"/>
        <v>140.6802194</v>
      </c>
      <c r="G57" s="12">
        <f t="shared" si="7"/>
        <v>23.44670323</v>
      </c>
      <c r="H57" s="12">
        <f t="shared" si="8"/>
        <v>-2</v>
      </c>
      <c r="I57" s="12">
        <f t="shared" si="9"/>
        <v>21</v>
      </c>
      <c r="J57" s="12">
        <f t="shared" si="10"/>
        <v>9.5</v>
      </c>
      <c r="L57" s="15" t="str">
        <f t="shared" ref="L57:AY57" si="54">IF(L$13="","",IF(AND(L$13&gt;$H56,L$13&lt;=$I56),IF(AND(MOD($B$6,2)=1,L$13=ROUNDUP($J56,0)),"0",IF(L$13=INT($H56)+1,ROUNDDOWN(ABS(L$13-$J56),0),IF(L$13=INT($I56),ROUNDUP(ABS(L$13-$J56),0),""))),""))</f>
        <v/>
      </c>
      <c r="M57" s="15" t="str">
        <f t="shared" si="54"/>
        <v/>
      </c>
      <c r="N57" s="15" t="str">
        <f t="shared" si="54"/>
        <v/>
      </c>
      <c r="O57" s="15" t="str">
        <f t="shared" si="54"/>
        <v/>
      </c>
      <c r="P57" s="15" t="str">
        <f t="shared" si="54"/>
        <v/>
      </c>
      <c r="Q57" s="15" t="str">
        <f t="shared" si="54"/>
        <v/>
      </c>
      <c r="R57" s="15" t="str">
        <f t="shared" si="54"/>
        <v/>
      </c>
      <c r="S57" s="15" t="str">
        <f t="shared" si="54"/>
        <v/>
      </c>
      <c r="T57" s="15" t="str">
        <f t="shared" si="54"/>
        <v/>
      </c>
      <c r="U57" s="15" t="str">
        <f t="shared" si="54"/>
        <v/>
      </c>
      <c r="V57" s="15" t="str">
        <f t="shared" si="54"/>
        <v/>
      </c>
      <c r="W57" s="15" t="str">
        <f t="shared" si="54"/>
        <v/>
      </c>
      <c r="X57" s="15" t="str">
        <f t="shared" si="54"/>
        <v/>
      </c>
      <c r="Y57" s="15" t="str">
        <f t="shared" si="54"/>
        <v/>
      </c>
      <c r="Z57" s="15" t="str">
        <f t="shared" si="54"/>
        <v/>
      </c>
      <c r="AA57" s="15" t="str">
        <f t="shared" si="54"/>
        <v/>
      </c>
      <c r="AB57" s="15" t="str">
        <f t="shared" si="54"/>
        <v/>
      </c>
      <c r="AC57" s="15" t="str">
        <f t="shared" si="54"/>
        <v/>
      </c>
      <c r="AD57" s="15" t="str">
        <f t="shared" si="54"/>
        <v/>
      </c>
      <c r="AE57" s="15" t="str">
        <f t="shared" si="54"/>
        <v/>
      </c>
      <c r="AF57" s="15" t="str">
        <f t="shared" si="54"/>
        <v/>
      </c>
      <c r="AG57" s="15" t="str">
        <f t="shared" si="54"/>
        <v/>
      </c>
      <c r="AH57" s="15" t="str">
        <f t="shared" si="54"/>
        <v/>
      </c>
      <c r="AI57" s="15" t="str">
        <f t="shared" si="54"/>
        <v/>
      </c>
      <c r="AJ57" s="15" t="str">
        <f t="shared" si="54"/>
        <v/>
      </c>
      <c r="AK57" s="15" t="str">
        <f t="shared" si="54"/>
        <v/>
      </c>
      <c r="AL57" s="15" t="str">
        <f t="shared" si="54"/>
        <v/>
      </c>
      <c r="AM57" s="15" t="str">
        <f t="shared" si="54"/>
        <v/>
      </c>
      <c r="AN57" s="15" t="str">
        <f t="shared" si="54"/>
        <v/>
      </c>
      <c r="AO57" s="15" t="str">
        <f t="shared" si="54"/>
        <v/>
      </c>
      <c r="AP57" s="15" t="str">
        <f t="shared" si="54"/>
        <v/>
      </c>
      <c r="AQ57" s="15" t="str">
        <f t="shared" si="54"/>
        <v/>
      </c>
      <c r="AR57" s="15" t="str">
        <f t="shared" si="54"/>
        <v/>
      </c>
      <c r="AS57" s="15" t="str">
        <f t="shared" si="54"/>
        <v/>
      </c>
      <c r="AT57" s="15" t="str">
        <f t="shared" si="54"/>
        <v/>
      </c>
      <c r="AU57" s="15" t="str">
        <f t="shared" si="54"/>
        <v/>
      </c>
      <c r="AV57" s="15" t="str">
        <f t="shared" si="54"/>
        <v/>
      </c>
      <c r="AW57" s="15" t="str">
        <f t="shared" si="54"/>
        <v/>
      </c>
      <c r="AX57" s="15" t="str">
        <f t="shared" si="54"/>
        <v/>
      </c>
      <c r="AY57" s="15" t="str">
        <f t="shared" si="54"/>
        <v/>
      </c>
    </row>
    <row r="58" ht="12.0" customHeight="1">
      <c r="A58" s="12">
        <f t="shared" si="1"/>
        <v>24</v>
      </c>
      <c r="B58" s="13">
        <f t="shared" si="2"/>
        <v>45</v>
      </c>
      <c r="C58" s="12">
        <f t="shared" si="3"/>
        <v>3.6</v>
      </c>
      <c r="D58" s="12">
        <f t="shared" si="4"/>
        <v>1</v>
      </c>
      <c r="E58" s="12">
        <f t="shared" si="5"/>
        <v>19.03362526</v>
      </c>
      <c r="F58" s="12">
        <f t="shared" si="6"/>
        <v>142.7521895</v>
      </c>
      <c r="G58" s="12">
        <f t="shared" si="7"/>
        <v>23.79203158</v>
      </c>
      <c r="H58" s="12">
        <f t="shared" si="8"/>
        <v>-2.5</v>
      </c>
      <c r="I58" s="12">
        <f t="shared" si="9"/>
        <v>21.5</v>
      </c>
      <c r="J58" s="12">
        <f t="shared" si="10"/>
        <v>9.5</v>
      </c>
      <c r="L58" s="15" t="str">
        <f t="shared" ref="L58:AY58" si="55">IF(L$13="","",IF(AND(L$13&gt;$H57,L$13&lt;=$I57),IF(AND(MOD($B$6,2)=1,L$13=ROUNDUP($J57,0)),"0",IF(L$13=INT($H57)+1,ROUNDDOWN(ABS(L$13-$J57),0),IF(L$13=INT($I57),ROUNDUP(ABS(L$13-$J57),0),""))),""))</f>
        <v/>
      </c>
      <c r="M58" s="15" t="str">
        <f t="shared" si="55"/>
        <v/>
      </c>
      <c r="N58" s="15" t="str">
        <f t="shared" si="55"/>
        <v/>
      </c>
      <c r="O58" s="15" t="str">
        <f t="shared" si="55"/>
        <v/>
      </c>
      <c r="P58" s="15" t="str">
        <f t="shared" si="55"/>
        <v/>
      </c>
      <c r="Q58" s="15" t="str">
        <f t="shared" si="55"/>
        <v/>
      </c>
      <c r="R58" s="15" t="str">
        <f t="shared" si="55"/>
        <v/>
      </c>
      <c r="S58" s="15" t="str">
        <f t="shared" si="55"/>
        <v/>
      </c>
      <c r="T58" s="15" t="str">
        <f t="shared" si="55"/>
        <v/>
      </c>
      <c r="U58" s="15" t="str">
        <f t="shared" si="55"/>
        <v/>
      </c>
      <c r="V58" s="15" t="str">
        <f t="shared" si="55"/>
        <v/>
      </c>
      <c r="W58" s="15" t="str">
        <f t="shared" si="55"/>
        <v/>
      </c>
      <c r="X58" s="15" t="str">
        <f t="shared" si="55"/>
        <v/>
      </c>
      <c r="Y58" s="15" t="str">
        <f t="shared" si="55"/>
        <v/>
      </c>
      <c r="Z58" s="15" t="str">
        <f t="shared" si="55"/>
        <v/>
      </c>
      <c r="AA58" s="15" t="str">
        <f t="shared" si="55"/>
        <v/>
      </c>
      <c r="AB58" s="15" t="str">
        <f t="shared" si="55"/>
        <v/>
      </c>
      <c r="AC58" s="15" t="str">
        <f t="shared" si="55"/>
        <v/>
      </c>
      <c r="AD58" s="15" t="str">
        <f t="shared" si="55"/>
        <v/>
      </c>
      <c r="AE58" s="15" t="str">
        <f t="shared" si="55"/>
        <v/>
      </c>
      <c r="AF58" s="15" t="str">
        <f t="shared" si="55"/>
        <v/>
      </c>
      <c r="AG58" s="15" t="str">
        <f t="shared" si="55"/>
        <v/>
      </c>
      <c r="AH58" s="15" t="str">
        <f t="shared" si="55"/>
        <v/>
      </c>
      <c r="AI58" s="15" t="str">
        <f t="shared" si="55"/>
        <v/>
      </c>
      <c r="AJ58" s="15" t="str">
        <f t="shared" si="55"/>
        <v/>
      </c>
      <c r="AK58" s="15" t="str">
        <f t="shared" si="55"/>
        <v/>
      </c>
      <c r="AL58" s="15" t="str">
        <f t="shared" si="55"/>
        <v/>
      </c>
      <c r="AM58" s="15" t="str">
        <f t="shared" si="55"/>
        <v/>
      </c>
      <c r="AN58" s="15" t="str">
        <f t="shared" si="55"/>
        <v/>
      </c>
      <c r="AO58" s="15" t="str">
        <f t="shared" si="55"/>
        <v/>
      </c>
      <c r="AP58" s="15" t="str">
        <f t="shared" si="55"/>
        <v/>
      </c>
      <c r="AQ58" s="15" t="str">
        <f t="shared" si="55"/>
        <v/>
      </c>
      <c r="AR58" s="15" t="str">
        <f t="shared" si="55"/>
        <v/>
      </c>
      <c r="AS58" s="15" t="str">
        <f t="shared" si="55"/>
        <v/>
      </c>
      <c r="AT58" s="15" t="str">
        <f t="shared" si="55"/>
        <v/>
      </c>
      <c r="AU58" s="15" t="str">
        <f t="shared" si="55"/>
        <v/>
      </c>
      <c r="AV58" s="15" t="str">
        <f t="shared" si="55"/>
        <v/>
      </c>
      <c r="AW58" s="15" t="str">
        <f t="shared" si="55"/>
        <v/>
      </c>
      <c r="AX58" s="15" t="str">
        <f t="shared" si="55"/>
        <v/>
      </c>
      <c r="AY58" s="15" t="str">
        <f t="shared" si="55"/>
        <v/>
      </c>
    </row>
    <row r="59" ht="12.0" customHeight="1">
      <c r="A59" s="12">
        <f t="shared" si="1"/>
        <v>24</v>
      </c>
      <c r="B59" s="13">
        <f t="shared" si="2"/>
        <v>46</v>
      </c>
      <c r="C59" s="12">
        <f t="shared" si="3"/>
        <v>3.68</v>
      </c>
      <c r="D59" s="12">
        <f t="shared" si="4"/>
        <v>1.022222222</v>
      </c>
      <c r="E59" s="12">
        <f t="shared" si="5"/>
        <v>19.300489</v>
      </c>
      <c r="F59" s="12">
        <f t="shared" si="6"/>
        <v>144.7536675</v>
      </c>
      <c r="G59" s="12">
        <f t="shared" si="7"/>
        <v>24.12561125</v>
      </c>
      <c r="H59" s="12">
        <f t="shared" si="8"/>
        <v>-2.5</v>
      </c>
      <c r="I59" s="12">
        <f t="shared" si="9"/>
        <v>21.5</v>
      </c>
      <c r="J59" s="12">
        <f t="shared" si="10"/>
        <v>9.5</v>
      </c>
      <c r="L59" s="15" t="str">
        <f t="shared" ref="L59:AY59" si="56">IF(L$13="","",IF(AND(L$13&gt;$H58,L$13&lt;=$I58),IF(AND(MOD($B$6,2)=1,L$13=ROUNDUP($J58,0)),"0",IF(L$13=INT($H58)+1,ROUNDDOWN(ABS(L$13-$J58),0),IF(L$13=INT($I58),ROUNDUP(ABS(L$13-$J58),0),""))),""))</f>
        <v/>
      </c>
      <c r="M59" s="15" t="str">
        <f t="shared" si="56"/>
        <v/>
      </c>
      <c r="N59" s="15" t="str">
        <f t="shared" si="56"/>
        <v/>
      </c>
      <c r="O59" s="15" t="str">
        <f t="shared" si="56"/>
        <v/>
      </c>
      <c r="P59" s="15" t="str">
        <f t="shared" si="56"/>
        <v/>
      </c>
      <c r="Q59" s="15" t="str">
        <f t="shared" si="56"/>
        <v/>
      </c>
      <c r="R59" s="15" t="str">
        <f t="shared" si="56"/>
        <v/>
      </c>
      <c r="S59" s="15" t="str">
        <f t="shared" si="56"/>
        <v/>
      </c>
      <c r="T59" s="15" t="str">
        <f t="shared" si="56"/>
        <v/>
      </c>
      <c r="U59" s="15" t="str">
        <f t="shared" si="56"/>
        <v/>
      </c>
      <c r="V59" s="15" t="str">
        <f t="shared" si="56"/>
        <v/>
      </c>
      <c r="W59" s="15" t="str">
        <f t="shared" si="56"/>
        <v/>
      </c>
      <c r="X59" s="15" t="str">
        <f t="shared" si="56"/>
        <v/>
      </c>
      <c r="Y59" s="15" t="str">
        <f t="shared" si="56"/>
        <v/>
      </c>
      <c r="Z59" s="15" t="str">
        <f t="shared" si="56"/>
        <v/>
      </c>
      <c r="AA59" s="15" t="str">
        <f t="shared" si="56"/>
        <v/>
      </c>
      <c r="AB59" s="15" t="str">
        <f t="shared" si="56"/>
        <v/>
      </c>
      <c r="AC59" s="15" t="str">
        <f t="shared" si="56"/>
        <v/>
      </c>
      <c r="AD59" s="15" t="str">
        <f t="shared" si="56"/>
        <v/>
      </c>
      <c r="AE59" s="15" t="str">
        <f t="shared" si="56"/>
        <v/>
      </c>
      <c r="AF59" s="15" t="str">
        <f t="shared" si="56"/>
        <v/>
      </c>
      <c r="AG59" s="15" t="str">
        <f t="shared" si="56"/>
        <v/>
      </c>
      <c r="AH59" s="15" t="str">
        <f t="shared" si="56"/>
        <v/>
      </c>
      <c r="AI59" s="15" t="str">
        <f t="shared" si="56"/>
        <v/>
      </c>
      <c r="AJ59" s="15" t="str">
        <f t="shared" si="56"/>
        <v/>
      </c>
      <c r="AK59" s="15" t="str">
        <f t="shared" si="56"/>
        <v/>
      </c>
      <c r="AL59" s="15" t="str">
        <f t="shared" si="56"/>
        <v/>
      </c>
      <c r="AM59" s="15" t="str">
        <f t="shared" si="56"/>
        <v/>
      </c>
      <c r="AN59" s="15" t="str">
        <f t="shared" si="56"/>
        <v/>
      </c>
      <c r="AO59" s="15" t="str">
        <f t="shared" si="56"/>
        <v/>
      </c>
      <c r="AP59" s="15" t="str">
        <f t="shared" si="56"/>
        <v/>
      </c>
      <c r="AQ59" s="15" t="str">
        <f t="shared" si="56"/>
        <v/>
      </c>
      <c r="AR59" s="15" t="str">
        <f t="shared" si="56"/>
        <v/>
      </c>
      <c r="AS59" s="15" t="str">
        <f t="shared" si="56"/>
        <v/>
      </c>
      <c r="AT59" s="15" t="str">
        <f t="shared" si="56"/>
        <v/>
      </c>
      <c r="AU59" s="15" t="str">
        <f t="shared" si="56"/>
        <v/>
      </c>
      <c r="AV59" s="15" t="str">
        <f t="shared" si="56"/>
        <v/>
      </c>
      <c r="AW59" s="15" t="str">
        <f t="shared" si="56"/>
        <v/>
      </c>
      <c r="AX59" s="15" t="str">
        <f t="shared" si="56"/>
        <v/>
      </c>
      <c r="AY59" s="15" t="str">
        <f t="shared" si="56"/>
        <v/>
      </c>
    </row>
    <row r="60" ht="12.0" customHeight="1">
      <c r="A60" s="12">
        <f t="shared" si="1"/>
        <v>24</v>
      </c>
      <c r="B60" s="13">
        <f t="shared" si="2"/>
        <v>47</v>
      </c>
      <c r="C60" s="12">
        <f t="shared" si="3"/>
        <v>3.76</v>
      </c>
      <c r="D60" s="12">
        <f t="shared" si="4"/>
        <v>1.044444444</v>
      </c>
      <c r="E60" s="12">
        <f t="shared" si="5"/>
        <v>19.55782203</v>
      </c>
      <c r="F60" s="12">
        <f t="shared" si="6"/>
        <v>146.6836652</v>
      </c>
      <c r="G60" s="12">
        <f t="shared" si="7"/>
        <v>24.44727754</v>
      </c>
      <c r="H60" s="12">
        <f t="shared" si="8"/>
        <v>-2.5</v>
      </c>
      <c r="I60" s="12">
        <f t="shared" si="9"/>
        <v>21.5</v>
      </c>
      <c r="J60" s="12">
        <f t="shared" si="10"/>
        <v>9.5</v>
      </c>
      <c r="L60" s="15" t="str">
        <f t="shared" ref="L60:AY60" si="57">IF(L$13="","",IF(AND(L$13&gt;$H59,L$13&lt;=$I59),IF(AND(MOD($B$6,2)=1,L$13=ROUNDUP($J59,0)),"0",IF(L$13=INT($H59)+1,ROUNDDOWN(ABS(L$13-$J59),0),IF(L$13=INT($I59),ROUNDUP(ABS(L$13-$J59),0),""))),""))</f>
        <v/>
      </c>
      <c r="M60" s="15" t="str">
        <f t="shared" si="57"/>
        <v/>
      </c>
      <c r="N60" s="15" t="str">
        <f t="shared" si="57"/>
        <v/>
      </c>
      <c r="O60" s="15" t="str">
        <f t="shared" si="57"/>
        <v/>
      </c>
      <c r="P60" s="15" t="str">
        <f t="shared" si="57"/>
        <v/>
      </c>
      <c r="Q60" s="15" t="str">
        <f t="shared" si="57"/>
        <v/>
      </c>
      <c r="R60" s="15" t="str">
        <f t="shared" si="57"/>
        <v/>
      </c>
      <c r="S60" s="15" t="str">
        <f t="shared" si="57"/>
        <v/>
      </c>
      <c r="T60" s="15" t="str">
        <f t="shared" si="57"/>
        <v/>
      </c>
      <c r="U60" s="15" t="str">
        <f t="shared" si="57"/>
        <v/>
      </c>
      <c r="V60" s="15" t="str">
        <f t="shared" si="57"/>
        <v/>
      </c>
      <c r="W60" s="15" t="str">
        <f t="shared" si="57"/>
        <v/>
      </c>
      <c r="X60" s="15" t="str">
        <f t="shared" si="57"/>
        <v/>
      </c>
      <c r="Y60" s="15" t="str">
        <f t="shared" si="57"/>
        <v/>
      </c>
      <c r="Z60" s="15" t="str">
        <f t="shared" si="57"/>
        <v/>
      </c>
      <c r="AA60" s="15" t="str">
        <f t="shared" si="57"/>
        <v/>
      </c>
      <c r="AB60" s="15" t="str">
        <f t="shared" si="57"/>
        <v/>
      </c>
      <c r="AC60" s="15" t="str">
        <f t="shared" si="57"/>
        <v/>
      </c>
      <c r="AD60" s="15" t="str">
        <f t="shared" si="57"/>
        <v/>
      </c>
      <c r="AE60" s="15" t="str">
        <f t="shared" si="57"/>
        <v/>
      </c>
      <c r="AF60" s="15" t="str">
        <f t="shared" si="57"/>
        <v/>
      </c>
      <c r="AG60" s="15" t="str">
        <f t="shared" si="57"/>
        <v/>
      </c>
      <c r="AH60" s="15" t="str">
        <f t="shared" si="57"/>
        <v/>
      </c>
      <c r="AI60" s="15" t="str">
        <f t="shared" si="57"/>
        <v/>
      </c>
      <c r="AJ60" s="15" t="str">
        <f t="shared" si="57"/>
        <v/>
      </c>
      <c r="AK60" s="15" t="str">
        <f t="shared" si="57"/>
        <v/>
      </c>
      <c r="AL60" s="15" t="str">
        <f t="shared" si="57"/>
        <v/>
      </c>
      <c r="AM60" s="15" t="str">
        <f t="shared" si="57"/>
        <v/>
      </c>
      <c r="AN60" s="15" t="str">
        <f t="shared" si="57"/>
        <v/>
      </c>
      <c r="AO60" s="15" t="str">
        <f t="shared" si="57"/>
        <v/>
      </c>
      <c r="AP60" s="15" t="str">
        <f t="shared" si="57"/>
        <v/>
      </c>
      <c r="AQ60" s="15" t="str">
        <f t="shared" si="57"/>
        <v/>
      </c>
      <c r="AR60" s="15" t="str">
        <f t="shared" si="57"/>
        <v/>
      </c>
      <c r="AS60" s="15" t="str">
        <f t="shared" si="57"/>
        <v/>
      </c>
      <c r="AT60" s="15" t="str">
        <f t="shared" si="57"/>
        <v/>
      </c>
      <c r="AU60" s="15" t="str">
        <f t="shared" si="57"/>
        <v/>
      </c>
      <c r="AV60" s="15" t="str">
        <f t="shared" si="57"/>
        <v/>
      </c>
      <c r="AW60" s="15" t="str">
        <f t="shared" si="57"/>
        <v/>
      </c>
      <c r="AX60" s="15" t="str">
        <f t="shared" si="57"/>
        <v/>
      </c>
      <c r="AY60" s="15" t="str">
        <f t="shared" si="57"/>
        <v/>
      </c>
    </row>
    <row r="61" ht="12.0" customHeight="1">
      <c r="A61" s="12">
        <f t="shared" si="1"/>
        <v>25</v>
      </c>
      <c r="B61" s="13">
        <f t="shared" si="2"/>
        <v>48</v>
      </c>
      <c r="C61" s="12">
        <f t="shared" si="3"/>
        <v>3.84</v>
      </c>
      <c r="D61" s="12">
        <f t="shared" si="4"/>
        <v>1.066666667</v>
      </c>
      <c r="E61" s="12">
        <f t="shared" si="5"/>
        <v>19.80549727</v>
      </c>
      <c r="F61" s="12">
        <f t="shared" si="6"/>
        <v>148.5412295</v>
      </c>
      <c r="G61" s="12">
        <f t="shared" si="7"/>
        <v>24.75687159</v>
      </c>
      <c r="H61" s="12">
        <f t="shared" si="8"/>
        <v>-3</v>
      </c>
      <c r="I61" s="12">
        <f t="shared" si="9"/>
        <v>22</v>
      </c>
      <c r="J61" s="12">
        <f t="shared" si="10"/>
        <v>9.5</v>
      </c>
      <c r="L61" s="15" t="str">
        <f t="shared" ref="L61:AY61" si="58">IF(L$13="","",IF(AND(L$13&gt;$H60,L$13&lt;=$I60),IF(AND(MOD($B$6,2)=1,L$13=ROUNDUP($J60,0)),"0",IF(L$13=INT($H60)+1,ROUNDDOWN(ABS(L$13-$J60),0),IF(L$13=INT($I60),ROUNDUP(ABS(L$13-$J60),0),""))),""))</f>
        <v/>
      </c>
      <c r="M61" s="15" t="str">
        <f t="shared" si="58"/>
        <v/>
      </c>
      <c r="N61" s="15" t="str">
        <f t="shared" si="58"/>
        <v/>
      </c>
      <c r="O61" s="15" t="str">
        <f t="shared" si="58"/>
        <v/>
      </c>
      <c r="P61" s="15" t="str">
        <f t="shared" si="58"/>
        <v/>
      </c>
      <c r="Q61" s="15" t="str">
        <f t="shared" si="58"/>
        <v/>
      </c>
      <c r="R61" s="15" t="str">
        <f t="shared" si="58"/>
        <v/>
      </c>
      <c r="S61" s="15" t="str">
        <f t="shared" si="58"/>
        <v/>
      </c>
      <c r="T61" s="15" t="str">
        <f t="shared" si="58"/>
        <v/>
      </c>
      <c r="U61" s="15" t="str">
        <f t="shared" si="58"/>
        <v/>
      </c>
      <c r="V61" s="15" t="str">
        <f t="shared" si="58"/>
        <v/>
      </c>
      <c r="W61" s="15" t="str">
        <f t="shared" si="58"/>
        <v/>
      </c>
      <c r="X61" s="15" t="str">
        <f t="shared" si="58"/>
        <v/>
      </c>
      <c r="Y61" s="15" t="str">
        <f t="shared" si="58"/>
        <v/>
      </c>
      <c r="Z61" s="15" t="str">
        <f t="shared" si="58"/>
        <v/>
      </c>
      <c r="AA61" s="15" t="str">
        <f t="shared" si="58"/>
        <v/>
      </c>
      <c r="AB61" s="15" t="str">
        <f t="shared" si="58"/>
        <v/>
      </c>
      <c r="AC61" s="15" t="str">
        <f t="shared" si="58"/>
        <v/>
      </c>
      <c r="AD61" s="15" t="str">
        <f t="shared" si="58"/>
        <v/>
      </c>
      <c r="AE61" s="15" t="str">
        <f t="shared" si="58"/>
        <v/>
      </c>
      <c r="AF61" s="15" t="str">
        <f t="shared" si="58"/>
        <v/>
      </c>
      <c r="AG61" s="15" t="str">
        <f t="shared" si="58"/>
        <v/>
      </c>
      <c r="AH61" s="15" t="str">
        <f t="shared" si="58"/>
        <v/>
      </c>
      <c r="AI61" s="15" t="str">
        <f t="shared" si="58"/>
        <v/>
      </c>
      <c r="AJ61" s="15" t="str">
        <f t="shared" si="58"/>
        <v/>
      </c>
      <c r="AK61" s="15" t="str">
        <f t="shared" si="58"/>
        <v/>
      </c>
      <c r="AL61" s="15" t="str">
        <f t="shared" si="58"/>
        <v/>
      </c>
      <c r="AM61" s="15" t="str">
        <f t="shared" si="58"/>
        <v/>
      </c>
      <c r="AN61" s="15" t="str">
        <f t="shared" si="58"/>
        <v/>
      </c>
      <c r="AO61" s="15" t="str">
        <f t="shared" si="58"/>
        <v/>
      </c>
      <c r="AP61" s="15" t="str">
        <f t="shared" si="58"/>
        <v/>
      </c>
      <c r="AQ61" s="15" t="str">
        <f t="shared" si="58"/>
        <v/>
      </c>
      <c r="AR61" s="15" t="str">
        <f t="shared" si="58"/>
        <v/>
      </c>
      <c r="AS61" s="15" t="str">
        <f t="shared" si="58"/>
        <v/>
      </c>
      <c r="AT61" s="15" t="str">
        <f t="shared" si="58"/>
        <v/>
      </c>
      <c r="AU61" s="15" t="str">
        <f t="shared" si="58"/>
        <v/>
      </c>
      <c r="AV61" s="15" t="str">
        <f t="shared" si="58"/>
        <v/>
      </c>
      <c r="AW61" s="15" t="str">
        <f t="shared" si="58"/>
        <v/>
      </c>
      <c r="AX61" s="15" t="str">
        <f t="shared" si="58"/>
        <v/>
      </c>
      <c r="AY61" s="15" t="str">
        <f t="shared" si="58"/>
        <v/>
      </c>
    </row>
    <row r="62" ht="12.0" customHeight="1">
      <c r="A62" s="12">
        <f t="shared" si="1"/>
        <v>25</v>
      </c>
      <c r="B62" s="13">
        <f t="shared" si="2"/>
        <v>49</v>
      </c>
      <c r="C62" s="12">
        <f t="shared" si="3"/>
        <v>3.92</v>
      </c>
      <c r="D62" s="12">
        <f t="shared" si="4"/>
        <v>1.088888889</v>
      </c>
      <c r="E62" s="12">
        <f t="shared" si="5"/>
        <v>20.04339242</v>
      </c>
      <c r="F62" s="12">
        <f t="shared" si="6"/>
        <v>150.3254432</v>
      </c>
      <c r="G62" s="12">
        <f t="shared" si="7"/>
        <v>25.05424053</v>
      </c>
      <c r="H62" s="12">
        <f t="shared" si="8"/>
        <v>-3</v>
      </c>
      <c r="I62" s="12">
        <f t="shared" si="9"/>
        <v>22</v>
      </c>
      <c r="J62" s="12">
        <f t="shared" si="10"/>
        <v>9.5</v>
      </c>
      <c r="L62" s="15" t="str">
        <f t="shared" ref="L62:AY62" si="59">IF(L$13="","",IF(AND(L$13&gt;$H61,L$13&lt;=$I61),IF(AND(MOD($B$6,2)=1,L$13=ROUNDUP($J61,0)),"0",IF(L$13=INT($H61)+1,ROUNDDOWN(ABS(L$13-$J61),0),IF(L$13=INT($I61),ROUNDUP(ABS(L$13-$J61),0),""))),""))</f>
        <v/>
      </c>
      <c r="M62" s="15" t="str">
        <f t="shared" si="59"/>
        <v/>
      </c>
      <c r="N62" s="15" t="str">
        <f t="shared" si="59"/>
        <v/>
      </c>
      <c r="O62" s="15" t="str">
        <f t="shared" si="59"/>
        <v/>
      </c>
      <c r="P62" s="15" t="str">
        <f t="shared" si="59"/>
        <v/>
      </c>
      <c r="Q62" s="15" t="str">
        <f t="shared" si="59"/>
        <v/>
      </c>
      <c r="R62" s="15" t="str">
        <f t="shared" si="59"/>
        <v/>
      </c>
      <c r="S62" s="15" t="str">
        <f t="shared" si="59"/>
        <v/>
      </c>
      <c r="T62" s="15" t="str">
        <f t="shared" si="59"/>
        <v/>
      </c>
      <c r="U62" s="15" t="str">
        <f t="shared" si="59"/>
        <v/>
      </c>
      <c r="V62" s="15" t="str">
        <f t="shared" si="59"/>
        <v/>
      </c>
      <c r="W62" s="15" t="str">
        <f t="shared" si="59"/>
        <v/>
      </c>
      <c r="X62" s="15" t="str">
        <f t="shared" si="59"/>
        <v/>
      </c>
      <c r="Y62" s="15" t="str">
        <f t="shared" si="59"/>
        <v/>
      </c>
      <c r="Z62" s="15" t="str">
        <f t="shared" si="59"/>
        <v/>
      </c>
      <c r="AA62" s="15" t="str">
        <f t="shared" si="59"/>
        <v/>
      </c>
      <c r="AB62" s="15" t="str">
        <f t="shared" si="59"/>
        <v/>
      </c>
      <c r="AC62" s="15" t="str">
        <f t="shared" si="59"/>
        <v/>
      </c>
      <c r="AD62" s="15" t="str">
        <f t="shared" si="59"/>
        <v/>
      </c>
      <c r="AE62" s="15" t="str">
        <f t="shared" si="59"/>
        <v/>
      </c>
      <c r="AF62" s="15" t="str">
        <f t="shared" si="59"/>
        <v/>
      </c>
      <c r="AG62" s="15" t="str">
        <f t="shared" si="59"/>
        <v/>
      </c>
      <c r="AH62" s="15" t="str">
        <f t="shared" si="59"/>
        <v/>
      </c>
      <c r="AI62" s="15" t="str">
        <f t="shared" si="59"/>
        <v/>
      </c>
      <c r="AJ62" s="15" t="str">
        <f t="shared" si="59"/>
        <v/>
      </c>
      <c r="AK62" s="15" t="str">
        <f t="shared" si="59"/>
        <v/>
      </c>
      <c r="AL62" s="15" t="str">
        <f t="shared" si="59"/>
        <v/>
      </c>
      <c r="AM62" s="15" t="str">
        <f t="shared" si="59"/>
        <v/>
      </c>
      <c r="AN62" s="15" t="str">
        <f t="shared" si="59"/>
        <v/>
      </c>
      <c r="AO62" s="15" t="str">
        <f t="shared" si="59"/>
        <v/>
      </c>
      <c r="AP62" s="15" t="str">
        <f t="shared" si="59"/>
        <v/>
      </c>
      <c r="AQ62" s="15" t="str">
        <f t="shared" si="59"/>
        <v/>
      </c>
      <c r="AR62" s="15" t="str">
        <f t="shared" si="59"/>
        <v/>
      </c>
      <c r="AS62" s="15" t="str">
        <f t="shared" si="59"/>
        <v/>
      </c>
      <c r="AT62" s="15" t="str">
        <f t="shared" si="59"/>
        <v/>
      </c>
      <c r="AU62" s="15" t="str">
        <f t="shared" si="59"/>
        <v/>
      </c>
      <c r="AV62" s="15" t="str">
        <f t="shared" si="59"/>
        <v/>
      </c>
      <c r="AW62" s="15" t="str">
        <f t="shared" si="59"/>
        <v/>
      </c>
      <c r="AX62" s="15" t="str">
        <f t="shared" si="59"/>
        <v/>
      </c>
      <c r="AY62" s="15" t="str">
        <f t="shared" si="59"/>
        <v/>
      </c>
    </row>
    <row r="63" ht="12.0" customHeight="1">
      <c r="A63" s="12">
        <f t="shared" si="1"/>
        <v>25</v>
      </c>
      <c r="B63" s="13">
        <f t="shared" si="2"/>
        <v>50</v>
      </c>
      <c r="C63" s="12">
        <f t="shared" si="3"/>
        <v>4</v>
      </c>
      <c r="D63" s="12">
        <f t="shared" si="4"/>
        <v>1.111111111</v>
      </c>
      <c r="E63" s="12">
        <f t="shared" si="5"/>
        <v>20.27139001</v>
      </c>
      <c r="F63" s="12">
        <f t="shared" si="6"/>
        <v>152.0354251</v>
      </c>
      <c r="G63" s="12">
        <f t="shared" si="7"/>
        <v>25.33923751</v>
      </c>
      <c r="H63" s="12">
        <f t="shared" si="8"/>
        <v>-3</v>
      </c>
      <c r="I63" s="12">
        <f t="shared" si="9"/>
        <v>22</v>
      </c>
      <c r="J63" s="12">
        <f t="shared" si="10"/>
        <v>9.5</v>
      </c>
      <c r="L63" s="15" t="str">
        <f t="shared" ref="L63:AY63" si="60">IF(L$13="","",IF(AND(L$13&gt;$H62,L$13&lt;=$I62),IF(AND(MOD($B$6,2)=1,L$13=ROUNDUP($J62,0)),"0",IF(L$13=INT($H62)+1,ROUNDDOWN(ABS(L$13-$J62),0),IF(L$13=INT($I62),ROUNDUP(ABS(L$13-$J62),0),""))),""))</f>
        <v/>
      </c>
      <c r="M63" s="15" t="str">
        <f t="shared" si="60"/>
        <v/>
      </c>
      <c r="N63" s="15" t="str">
        <f t="shared" si="60"/>
        <v/>
      </c>
      <c r="O63" s="15" t="str">
        <f t="shared" si="60"/>
        <v/>
      </c>
      <c r="P63" s="15" t="str">
        <f t="shared" si="60"/>
        <v/>
      </c>
      <c r="Q63" s="15" t="str">
        <f t="shared" si="60"/>
        <v/>
      </c>
      <c r="R63" s="15" t="str">
        <f t="shared" si="60"/>
        <v/>
      </c>
      <c r="S63" s="15" t="str">
        <f t="shared" si="60"/>
        <v/>
      </c>
      <c r="T63" s="15" t="str">
        <f t="shared" si="60"/>
        <v/>
      </c>
      <c r="U63" s="15" t="str">
        <f t="shared" si="60"/>
        <v/>
      </c>
      <c r="V63" s="15" t="str">
        <f t="shared" si="60"/>
        <v/>
      </c>
      <c r="W63" s="15" t="str">
        <f t="shared" si="60"/>
        <v/>
      </c>
      <c r="X63" s="15" t="str">
        <f t="shared" si="60"/>
        <v/>
      </c>
      <c r="Y63" s="15" t="str">
        <f t="shared" si="60"/>
        <v/>
      </c>
      <c r="Z63" s="15" t="str">
        <f t="shared" si="60"/>
        <v/>
      </c>
      <c r="AA63" s="15" t="str">
        <f t="shared" si="60"/>
        <v/>
      </c>
      <c r="AB63" s="15" t="str">
        <f t="shared" si="60"/>
        <v/>
      </c>
      <c r="AC63" s="15" t="str">
        <f t="shared" si="60"/>
        <v/>
      </c>
      <c r="AD63" s="15" t="str">
        <f t="shared" si="60"/>
        <v/>
      </c>
      <c r="AE63" s="15" t="str">
        <f t="shared" si="60"/>
        <v/>
      </c>
      <c r="AF63" s="15" t="str">
        <f t="shared" si="60"/>
        <v/>
      </c>
      <c r="AG63" s="15" t="str">
        <f t="shared" si="60"/>
        <v/>
      </c>
      <c r="AH63" s="15" t="str">
        <f t="shared" si="60"/>
        <v/>
      </c>
      <c r="AI63" s="15" t="str">
        <f t="shared" si="60"/>
        <v/>
      </c>
      <c r="AJ63" s="15" t="str">
        <f t="shared" si="60"/>
        <v/>
      </c>
      <c r="AK63" s="15" t="str">
        <f t="shared" si="60"/>
        <v/>
      </c>
      <c r="AL63" s="15" t="str">
        <f t="shared" si="60"/>
        <v/>
      </c>
      <c r="AM63" s="15" t="str">
        <f t="shared" si="60"/>
        <v/>
      </c>
      <c r="AN63" s="15" t="str">
        <f t="shared" si="60"/>
        <v/>
      </c>
      <c r="AO63" s="15" t="str">
        <f t="shared" si="60"/>
        <v/>
      </c>
      <c r="AP63" s="15" t="str">
        <f t="shared" si="60"/>
        <v/>
      </c>
      <c r="AQ63" s="15" t="str">
        <f t="shared" si="60"/>
        <v/>
      </c>
      <c r="AR63" s="15" t="str">
        <f t="shared" si="60"/>
        <v/>
      </c>
      <c r="AS63" s="15" t="str">
        <f t="shared" si="60"/>
        <v/>
      </c>
      <c r="AT63" s="15" t="str">
        <f t="shared" si="60"/>
        <v/>
      </c>
      <c r="AU63" s="15" t="str">
        <f t="shared" si="60"/>
        <v/>
      </c>
      <c r="AV63" s="15" t="str">
        <f t="shared" si="60"/>
        <v/>
      </c>
      <c r="AW63" s="15" t="str">
        <f t="shared" si="60"/>
        <v/>
      </c>
      <c r="AX63" s="15" t="str">
        <f t="shared" si="60"/>
        <v/>
      </c>
      <c r="AY63" s="15" t="str">
        <f t="shared" si="60"/>
        <v/>
      </c>
    </row>
    <row r="64" ht="12.0" customHeight="1">
      <c r="A64" s="12">
        <f t="shared" si="1"/>
        <v>26</v>
      </c>
      <c r="B64" s="13">
        <f t="shared" si="2"/>
        <v>51</v>
      </c>
      <c r="C64" s="12">
        <f t="shared" si="3"/>
        <v>4.08</v>
      </c>
      <c r="D64" s="12">
        <f t="shared" si="4"/>
        <v>1.133333333</v>
      </c>
      <c r="E64" s="12">
        <f t="shared" si="5"/>
        <v>20.48937745</v>
      </c>
      <c r="F64" s="12">
        <f t="shared" si="6"/>
        <v>153.6703309</v>
      </c>
      <c r="G64" s="12">
        <f t="shared" si="7"/>
        <v>25.61172181</v>
      </c>
      <c r="H64" s="12">
        <f t="shared" si="8"/>
        <v>-3.5</v>
      </c>
      <c r="I64" s="12">
        <f t="shared" si="9"/>
        <v>22.5</v>
      </c>
      <c r="J64" s="12">
        <f t="shared" si="10"/>
        <v>9.5</v>
      </c>
      <c r="L64" s="15" t="str">
        <f t="shared" ref="L64:AY64" si="61">IF(L$13="","",IF(AND(L$13&gt;$H63,L$13&lt;=$I63),IF(AND(MOD($B$6,2)=1,L$13=ROUNDUP($J63,0)),"0",IF(L$13=INT($H63)+1,ROUNDDOWN(ABS(L$13-$J63),0),IF(L$13=INT($I63),ROUNDUP(ABS(L$13-$J63),0),""))),""))</f>
        <v/>
      </c>
      <c r="M64" s="15" t="str">
        <f t="shared" si="61"/>
        <v/>
      </c>
      <c r="N64" s="15" t="str">
        <f t="shared" si="61"/>
        <v/>
      </c>
      <c r="O64" s="15" t="str">
        <f t="shared" si="61"/>
        <v/>
      </c>
      <c r="P64" s="15" t="str">
        <f t="shared" si="61"/>
        <v/>
      </c>
      <c r="Q64" s="15" t="str">
        <f t="shared" si="61"/>
        <v/>
      </c>
      <c r="R64" s="15" t="str">
        <f t="shared" si="61"/>
        <v/>
      </c>
      <c r="S64" s="15" t="str">
        <f t="shared" si="61"/>
        <v/>
      </c>
      <c r="T64" s="15" t="str">
        <f t="shared" si="61"/>
        <v/>
      </c>
      <c r="U64" s="15" t="str">
        <f t="shared" si="61"/>
        <v/>
      </c>
      <c r="V64" s="15" t="str">
        <f t="shared" si="61"/>
        <v/>
      </c>
      <c r="W64" s="15" t="str">
        <f t="shared" si="61"/>
        <v/>
      </c>
      <c r="X64" s="15" t="str">
        <f t="shared" si="61"/>
        <v/>
      </c>
      <c r="Y64" s="15" t="str">
        <f t="shared" si="61"/>
        <v/>
      </c>
      <c r="Z64" s="15" t="str">
        <f t="shared" si="61"/>
        <v/>
      </c>
      <c r="AA64" s="15" t="str">
        <f t="shared" si="61"/>
        <v/>
      </c>
      <c r="AB64" s="15" t="str">
        <f t="shared" si="61"/>
        <v/>
      </c>
      <c r="AC64" s="15" t="str">
        <f t="shared" si="61"/>
        <v/>
      </c>
      <c r="AD64" s="15" t="str">
        <f t="shared" si="61"/>
        <v/>
      </c>
      <c r="AE64" s="15" t="str">
        <f t="shared" si="61"/>
        <v/>
      </c>
      <c r="AF64" s="15" t="str">
        <f t="shared" si="61"/>
        <v/>
      </c>
      <c r="AG64" s="15" t="str">
        <f t="shared" si="61"/>
        <v/>
      </c>
      <c r="AH64" s="15" t="str">
        <f t="shared" si="61"/>
        <v/>
      </c>
      <c r="AI64" s="15" t="str">
        <f t="shared" si="61"/>
        <v/>
      </c>
      <c r="AJ64" s="15" t="str">
        <f t="shared" si="61"/>
        <v/>
      </c>
      <c r="AK64" s="15" t="str">
        <f t="shared" si="61"/>
        <v/>
      </c>
      <c r="AL64" s="15" t="str">
        <f t="shared" si="61"/>
        <v/>
      </c>
      <c r="AM64" s="15" t="str">
        <f t="shared" si="61"/>
        <v/>
      </c>
      <c r="AN64" s="15" t="str">
        <f t="shared" si="61"/>
        <v/>
      </c>
      <c r="AO64" s="15" t="str">
        <f t="shared" si="61"/>
        <v/>
      </c>
      <c r="AP64" s="15" t="str">
        <f t="shared" si="61"/>
        <v/>
      </c>
      <c r="AQ64" s="15" t="str">
        <f t="shared" si="61"/>
        <v/>
      </c>
      <c r="AR64" s="15" t="str">
        <f t="shared" si="61"/>
        <v/>
      </c>
      <c r="AS64" s="15" t="str">
        <f t="shared" si="61"/>
        <v/>
      </c>
      <c r="AT64" s="15" t="str">
        <f t="shared" si="61"/>
        <v/>
      </c>
      <c r="AU64" s="15" t="str">
        <f t="shared" si="61"/>
        <v/>
      </c>
      <c r="AV64" s="15" t="str">
        <f t="shared" si="61"/>
        <v/>
      </c>
      <c r="AW64" s="15" t="str">
        <f t="shared" si="61"/>
        <v/>
      </c>
      <c r="AX64" s="15" t="str">
        <f t="shared" si="61"/>
        <v/>
      </c>
      <c r="AY64" s="15" t="str">
        <f t="shared" si="61"/>
        <v/>
      </c>
    </row>
    <row r="65" ht="12.0" customHeight="1">
      <c r="A65" s="12">
        <f t="shared" si="1"/>
        <v>26</v>
      </c>
      <c r="B65" s="13">
        <f t="shared" si="2"/>
        <v>52</v>
      </c>
      <c r="C65" s="12">
        <f t="shared" si="3"/>
        <v>4.16</v>
      </c>
      <c r="D65" s="12">
        <f t="shared" si="4"/>
        <v>1.155555556</v>
      </c>
      <c r="E65" s="12">
        <f t="shared" si="5"/>
        <v>20.69724709</v>
      </c>
      <c r="F65" s="12">
        <f t="shared" si="6"/>
        <v>155.2293532</v>
      </c>
      <c r="G65" s="12">
        <f t="shared" si="7"/>
        <v>25.87155886</v>
      </c>
      <c r="H65" s="12">
        <f t="shared" si="8"/>
        <v>-3.5</v>
      </c>
      <c r="I65" s="12">
        <f t="shared" si="9"/>
        <v>22.5</v>
      </c>
      <c r="J65" s="12">
        <f t="shared" si="10"/>
        <v>9.5</v>
      </c>
      <c r="L65" s="15" t="str">
        <f t="shared" ref="L65:AY65" si="62">IF(L$13="","",IF(AND(L$13&gt;$H64,L$13&lt;=$I64),IF(AND(MOD($B$6,2)=1,L$13=ROUNDUP($J64,0)),"0",IF(L$13=INT($H64)+1,ROUNDDOWN(ABS(L$13-$J64),0),IF(L$13=INT($I64),ROUNDUP(ABS(L$13-$J64),0),""))),""))</f>
        <v/>
      </c>
      <c r="M65" s="15" t="str">
        <f t="shared" si="62"/>
        <v/>
      </c>
      <c r="N65" s="15" t="str">
        <f t="shared" si="62"/>
        <v/>
      </c>
      <c r="O65" s="15" t="str">
        <f t="shared" si="62"/>
        <v/>
      </c>
      <c r="P65" s="15" t="str">
        <f t="shared" si="62"/>
        <v/>
      </c>
      <c r="Q65" s="15" t="str">
        <f t="shared" si="62"/>
        <v/>
      </c>
      <c r="R65" s="15" t="str">
        <f t="shared" si="62"/>
        <v/>
      </c>
      <c r="S65" s="15" t="str">
        <f t="shared" si="62"/>
        <v/>
      </c>
      <c r="T65" s="15" t="str">
        <f t="shared" si="62"/>
        <v/>
      </c>
      <c r="U65" s="15" t="str">
        <f t="shared" si="62"/>
        <v/>
      </c>
      <c r="V65" s="15" t="str">
        <f t="shared" si="62"/>
        <v/>
      </c>
      <c r="W65" s="15" t="str">
        <f t="shared" si="62"/>
        <v/>
      </c>
      <c r="X65" s="15" t="str">
        <f t="shared" si="62"/>
        <v/>
      </c>
      <c r="Y65" s="15" t="str">
        <f t="shared" si="62"/>
        <v/>
      </c>
      <c r="Z65" s="15" t="str">
        <f t="shared" si="62"/>
        <v/>
      </c>
      <c r="AA65" s="15" t="str">
        <f t="shared" si="62"/>
        <v/>
      </c>
      <c r="AB65" s="15" t="str">
        <f t="shared" si="62"/>
        <v/>
      </c>
      <c r="AC65" s="15" t="str">
        <f t="shared" si="62"/>
        <v/>
      </c>
      <c r="AD65" s="15" t="str">
        <f t="shared" si="62"/>
        <v/>
      </c>
      <c r="AE65" s="15" t="str">
        <f t="shared" si="62"/>
        <v/>
      </c>
      <c r="AF65" s="15" t="str">
        <f t="shared" si="62"/>
        <v/>
      </c>
      <c r="AG65" s="15" t="str">
        <f t="shared" si="62"/>
        <v/>
      </c>
      <c r="AH65" s="15" t="str">
        <f t="shared" si="62"/>
        <v/>
      </c>
      <c r="AI65" s="15" t="str">
        <f t="shared" si="62"/>
        <v/>
      </c>
      <c r="AJ65" s="15" t="str">
        <f t="shared" si="62"/>
        <v/>
      </c>
      <c r="AK65" s="15" t="str">
        <f t="shared" si="62"/>
        <v/>
      </c>
      <c r="AL65" s="15" t="str">
        <f t="shared" si="62"/>
        <v/>
      </c>
      <c r="AM65" s="15" t="str">
        <f t="shared" si="62"/>
        <v/>
      </c>
      <c r="AN65" s="15" t="str">
        <f t="shared" si="62"/>
        <v/>
      </c>
      <c r="AO65" s="15" t="str">
        <f t="shared" si="62"/>
        <v/>
      </c>
      <c r="AP65" s="15" t="str">
        <f t="shared" si="62"/>
        <v/>
      </c>
      <c r="AQ65" s="15" t="str">
        <f t="shared" si="62"/>
        <v/>
      </c>
      <c r="AR65" s="15" t="str">
        <f t="shared" si="62"/>
        <v/>
      </c>
      <c r="AS65" s="15" t="str">
        <f t="shared" si="62"/>
        <v/>
      </c>
      <c r="AT65" s="15" t="str">
        <f t="shared" si="62"/>
        <v/>
      </c>
      <c r="AU65" s="15" t="str">
        <f t="shared" si="62"/>
        <v/>
      </c>
      <c r="AV65" s="15" t="str">
        <f t="shared" si="62"/>
        <v/>
      </c>
      <c r="AW65" s="15" t="str">
        <f t="shared" si="62"/>
        <v/>
      </c>
      <c r="AX65" s="15" t="str">
        <f t="shared" si="62"/>
        <v/>
      </c>
      <c r="AY65" s="15" t="str">
        <f t="shared" si="62"/>
        <v/>
      </c>
    </row>
    <row r="66" ht="12.0" customHeight="1">
      <c r="A66" s="12">
        <f t="shared" si="1"/>
        <v>26</v>
      </c>
      <c r="B66" s="13">
        <f t="shared" si="2"/>
        <v>53</v>
      </c>
      <c r="C66" s="12">
        <f t="shared" si="3"/>
        <v>4.24</v>
      </c>
      <c r="D66" s="12">
        <f t="shared" si="4"/>
        <v>1.177777778</v>
      </c>
      <c r="E66" s="12">
        <f t="shared" si="5"/>
        <v>20.89489629</v>
      </c>
      <c r="F66" s="12">
        <f t="shared" si="6"/>
        <v>156.7117222</v>
      </c>
      <c r="G66" s="12">
        <f t="shared" si="7"/>
        <v>26.11862036</v>
      </c>
      <c r="H66" s="12">
        <f t="shared" si="8"/>
        <v>-3.5</v>
      </c>
      <c r="I66" s="12">
        <f t="shared" si="9"/>
        <v>22.5</v>
      </c>
      <c r="J66" s="12">
        <f t="shared" si="10"/>
        <v>9.5</v>
      </c>
      <c r="L66" s="15" t="str">
        <f t="shared" ref="L66:AY66" si="63">IF(L$13="","",IF(AND(L$13&gt;$H65,L$13&lt;=$I65),IF(AND(MOD($B$6,2)=1,L$13=ROUNDUP($J65,0)),"0",IF(L$13=INT($H65)+1,ROUNDDOWN(ABS(L$13-$J65),0),IF(L$13=INT($I65),ROUNDUP(ABS(L$13-$J65),0),""))),""))</f>
        <v/>
      </c>
      <c r="M66" s="15" t="str">
        <f t="shared" si="63"/>
        <v/>
      </c>
      <c r="N66" s="15" t="str">
        <f t="shared" si="63"/>
        <v/>
      </c>
      <c r="O66" s="15" t="str">
        <f t="shared" si="63"/>
        <v/>
      </c>
      <c r="P66" s="15" t="str">
        <f t="shared" si="63"/>
        <v/>
      </c>
      <c r="Q66" s="15" t="str">
        <f t="shared" si="63"/>
        <v/>
      </c>
      <c r="R66" s="15" t="str">
        <f t="shared" si="63"/>
        <v/>
      </c>
      <c r="S66" s="15" t="str">
        <f t="shared" si="63"/>
        <v/>
      </c>
      <c r="T66" s="15" t="str">
        <f t="shared" si="63"/>
        <v/>
      </c>
      <c r="U66" s="15" t="str">
        <f t="shared" si="63"/>
        <v/>
      </c>
      <c r="V66" s="15" t="str">
        <f t="shared" si="63"/>
        <v/>
      </c>
      <c r="W66" s="15" t="str">
        <f t="shared" si="63"/>
        <v/>
      </c>
      <c r="X66" s="15" t="str">
        <f t="shared" si="63"/>
        <v/>
      </c>
      <c r="Y66" s="15" t="str">
        <f t="shared" si="63"/>
        <v/>
      </c>
      <c r="Z66" s="15" t="str">
        <f t="shared" si="63"/>
        <v/>
      </c>
      <c r="AA66" s="15" t="str">
        <f t="shared" si="63"/>
        <v/>
      </c>
      <c r="AB66" s="15" t="str">
        <f t="shared" si="63"/>
        <v/>
      </c>
      <c r="AC66" s="15" t="str">
        <f t="shared" si="63"/>
        <v/>
      </c>
      <c r="AD66" s="15" t="str">
        <f t="shared" si="63"/>
        <v/>
      </c>
      <c r="AE66" s="15" t="str">
        <f t="shared" si="63"/>
        <v/>
      </c>
      <c r="AF66" s="15" t="str">
        <f t="shared" si="63"/>
        <v/>
      </c>
      <c r="AG66" s="15" t="str">
        <f t="shared" si="63"/>
        <v/>
      </c>
      <c r="AH66" s="15" t="str">
        <f t="shared" si="63"/>
        <v/>
      </c>
      <c r="AI66" s="15" t="str">
        <f t="shared" si="63"/>
        <v/>
      </c>
      <c r="AJ66" s="15" t="str">
        <f t="shared" si="63"/>
        <v/>
      </c>
      <c r="AK66" s="15" t="str">
        <f t="shared" si="63"/>
        <v/>
      </c>
      <c r="AL66" s="15" t="str">
        <f t="shared" si="63"/>
        <v/>
      </c>
      <c r="AM66" s="15" t="str">
        <f t="shared" si="63"/>
        <v/>
      </c>
      <c r="AN66" s="15" t="str">
        <f t="shared" si="63"/>
        <v/>
      </c>
      <c r="AO66" s="15" t="str">
        <f t="shared" si="63"/>
        <v/>
      </c>
      <c r="AP66" s="15" t="str">
        <f t="shared" si="63"/>
        <v/>
      </c>
      <c r="AQ66" s="15" t="str">
        <f t="shared" si="63"/>
        <v/>
      </c>
      <c r="AR66" s="15" t="str">
        <f t="shared" si="63"/>
        <v/>
      </c>
      <c r="AS66" s="15" t="str">
        <f t="shared" si="63"/>
        <v/>
      </c>
      <c r="AT66" s="15" t="str">
        <f t="shared" si="63"/>
        <v/>
      </c>
      <c r="AU66" s="15" t="str">
        <f t="shared" si="63"/>
        <v/>
      </c>
      <c r="AV66" s="15" t="str">
        <f t="shared" si="63"/>
        <v/>
      </c>
      <c r="AW66" s="15" t="str">
        <f t="shared" si="63"/>
        <v/>
      </c>
      <c r="AX66" s="15" t="str">
        <f t="shared" si="63"/>
        <v/>
      </c>
      <c r="AY66" s="15" t="str">
        <f t="shared" si="63"/>
        <v/>
      </c>
    </row>
    <row r="67" ht="12.0" customHeight="1">
      <c r="A67" s="12">
        <f t="shared" si="1"/>
        <v>26</v>
      </c>
      <c r="B67" s="13">
        <f t="shared" si="2"/>
        <v>54</v>
      </c>
      <c r="C67" s="12">
        <f t="shared" si="3"/>
        <v>4.32</v>
      </c>
      <c r="D67" s="12">
        <f t="shared" si="4"/>
        <v>1.2</v>
      </c>
      <c r="E67" s="12">
        <f t="shared" si="5"/>
        <v>21.08222745</v>
      </c>
      <c r="F67" s="12">
        <f t="shared" si="6"/>
        <v>158.1167058</v>
      </c>
      <c r="G67" s="12">
        <f t="shared" si="7"/>
        <v>26.35278431</v>
      </c>
      <c r="H67" s="12">
        <f t="shared" si="8"/>
        <v>-3.5</v>
      </c>
      <c r="I67" s="12">
        <f t="shared" si="9"/>
        <v>22.5</v>
      </c>
      <c r="J67" s="12">
        <f t="shared" si="10"/>
        <v>9.5</v>
      </c>
      <c r="L67" s="15" t="str">
        <f t="shared" ref="L67:AY67" si="64">IF(L$13="","",IF(AND(L$13&gt;$H66,L$13&lt;=$I66),IF(AND(MOD($B$6,2)=1,L$13=ROUNDUP($J66,0)),"0",IF(L$13=INT($H66)+1,ROUNDDOWN(ABS(L$13-$J66),0),IF(L$13=INT($I66),ROUNDUP(ABS(L$13-$J66),0),""))),""))</f>
        <v/>
      </c>
      <c r="M67" s="15" t="str">
        <f t="shared" si="64"/>
        <v/>
      </c>
      <c r="N67" s="15" t="str">
        <f t="shared" si="64"/>
        <v/>
      </c>
      <c r="O67" s="15" t="str">
        <f t="shared" si="64"/>
        <v/>
      </c>
      <c r="P67" s="15" t="str">
        <f t="shared" si="64"/>
        <v/>
      </c>
      <c r="Q67" s="15" t="str">
        <f t="shared" si="64"/>
        <v/>
      </c>
      <c r="R67" s="15" t="str">
        <f t="shared" si="64"/>
        <v/>
      </c>
      <c r="S67" s="15" t="str">
        <f t="shared" si="64"/>
        <v/>
      </c>
      <c r="T67" s="15" t="str">
        <f t="shared" si="64"/>
        <v/>
      </c>
      <c r="U67" s="15" t="str">
        <f t="shared" si="64"/>
        <v/>
      </c>
      <c r="V67" s="15" t="str">
        <f t="shared" si="64"/>
        <v/>
      </c>
      <c r="W67" s="15" t="str">
        <f t="shared" si="64"/>
        <v/>
      </c>
      <c r="X67" s="15" t="str">
        <f t="shared" si="64"/>
        <v/>
      </c>
      <c r="Y67" s="15" t="str">
        <f t="shared" si="64"/>
        <v/>
      </c>
      <c r="Z67" s="15" t="str">
        <f t="shared" si="64"/>
        <v/>
      </c>
      <c r="AA67" s="15" t="str">
        <f t="shared" si="64"/>
        <v/>
      </c>
      <c r="AB67" s="15" t="str">
        <f t="shared" si="64"/>
        <v/>
      </c>
      <c r="AC67" s="15" t="str">
        <f t="shared" si="64"/>
        <v/>
      </c>
      <c r="AD67" s="15" t="str">
        <f t="shared" si="64"/>
        <v/>
      </c>
      <c r="AE67" s="15" t="str">
        <f t="shared" si="64"/>
        <v/>
      </c>
      <c r="AF67" s="15" t="str">
        <f t="shared" si="64"/>
        <v/>
      </c>
      <c r="AG67" s="15" t="str">
        <f t="shared" si="64"/>
        <v/>
      </c>
      <c r="AH67" s="15" t="str">
        <f t="shared" si="64"/>
        <v/>
      </c>
      <c r="AI67" s="15" t="str">
        <f t="shared" si="64"/>
        <v/>
      </c>
      <c r="AJ67" s="15" t="str">
        <f t="shared" si="64"/>
        <v/>
      </c>
      <c r="AK67" s="15" t="str">
        <f t="shared" si="64"/>
        <v/>
      </c>
      <c r="AL67" s="15" t="str">
        <f t="shared" si="64"/>
        <v/>
      </c>
      <c r="AM67" s="15" t="str">
        <f t="shared" si="64"/>
        <v/>
      </c>
      <c r="AN67" s="15" t="str">
        <f t="shared" si="64"/>
        <v/>
      </c>
      <c r="AO67" s="15" t="str">
        <f t="shared" si="64"/>
        <v/>
      </c>
      <c r="AP67" s="15" t="str">
        <f t="shared" si="64"/>
        <v/>
      </c>
      <c r="AQ67" s="15" t="str">
        <f t="shared" si="64"/>
        <v/>
      </c>
      <c r="AR67" s="15" t="str">
        <f t="shared" si="64"/>
        <v/>
      </c>
      <c r="AS67" s="15" t="str">
        <f t="shared" si="64"/>
        <v/>
      </c>
      <c r="AT67" s="15" t="str">
        <f t="shared" si="64"/>
        <v/>
      </c>
      <c r="AU67" s="15" t="str">
        <f t="shared" si="64"/>
        <v/>
      </c>
      <c r="AV67" s="15" t="str">
        <f t="shared" si="64"/>
        <v/>
      </c>
      <c r="AW67" s="15" t="str">
        <f t="shared" si="64"/>
        <v/>
      </c>
      <c r="AX67" s="15" t="str">
        <f t="shared" si="64"/>
        <v/>
      </c>
      <c r="AY67" s="15" t="str">
        <f t="shared" si="64"/>
        <v/>
      </c>
    </row>
    <row r="68" ht="12.0" customHeight="1">
      <c r="A68" s="12">
        <f t="shared" si="1"/>
        <v>27</v>
      </c>
      <c r="B68" s="13">
        <f t="shared" si="2"/>
        <v>55</v>
      </c>
      <c r="C68" s="12">
        <f t="shared" si="3"/>
        <v>4.4</v>
      </c>
      <c r="D68" s="12">
        <f t="shared" si="4"/>
        <v>1.222222222</v>
      </c>
      <c r="E68" s="12">
        <f t="shared" si="5"/>
        <v>21.25914806</v>
      </c>
      <c r="F68" s="12">
        <f t="shared" si="6"/>
        <v>159.4436104</v>
      </c>
      <c r="G68" s="12">
        <f t="shared" si="7"/>
        <v>26.57393507</v>
      </c>
      <c r="H68" s="12">
        <f t="shared" si="8"/>
        <v>-4</v>
      </c>
      <c r="I68" s="12">
        <f t="shared" si="9"/>
        <v>23</v>
      </c>
      <c r="J68" s="12">
        <f t="shared" si="10"/>
        <v>9.5</v>
      </c>
      <c r="L68" s="15" t="str">
        <f t="shared" ref="L68:AY68" si="65">IF(L$13="","",IF(AND(L$13&gt;$H67,L$13&lt;=$I67),IF(AND(MOD($B$6,2)=1,L$13=ROUNDUP($J67,0)),"0",IF(L$13=INT($H67)+1,ROUNDDOWN(ABS(L$13-$J67),0),IF(L$13=INT($I67),ROUNDUP(ABS(L$13-$J67),0),""))),""))</f>
        <v/>
      </c>
      <c r="M68" s="15" t="str">
        <f t="shared" si="65"/>
        <v/>
      </c>
      <c r="N68" s="15" t="str">
        <f t="shared" si="65"/>
        <v/>
      </c>
      <c r="O68" s="15" t="str">
        <f t="shared" si="65"/>
        <v/>
      </c>
      <c r="P68" s="15" t="str">
        <f t="shared" si="65"/>
        <v/>
      </c>
      <c r="Q68" s="15" t="str">
        <f t="shared" si="65"/>
        <v/>
      </c>
      <c r="R68" s="15" t="str">
        <f t="shared" si="65"/>
        <v/>
      </c>
      <c r="S68" s="15" t="str">
        <f t="shared" si="65"/>
        <v/>
      </c>
      <c r="T68" s="15" t="str">
        <f t="shared" si="65"/>
        <v/>
      </c>
      <c r="U68" s="15" t="str">
        <f t="shared" si="65"/>
        <v/>
      </c>
      <c r="V68" s="15" t="str">
        <f t="shared" si="65"/>
        <v/>
      </c>
      <c r="W68" s="15" t="str">
        <f t="shared" si="65"/>
        <v/>
      </c>
      <c r="X68" s="15" t="str">
        <f t="shared" si="65"/>
        <v/>
      </c>
      <c r="Y68" s="15" t="str">
        <f t="shared" si="65"/>
        <v/>
      </c>
      <c r="Z68" s="15" t="str">
        <f t="shared" si="65"/>
        <v/>
      </c>
      <c r="AA68" s="15" t="str">
        <f t="shared" si="65"/>
        <v/>
      </c>
      <c r="AB68" s="15" t="str">
        <f t="shared" si="65"/>
        <v/>
      </c>
      <c r="AC68" s="15" t="str">
        <f t="shared" si="65"/>
        <v/>
      </c>
      <c r="AD68" s="15" t="str">
        <f t="shared" si="65"/>
        <v/>
      </c>
      <c r="AE68" s="15" t="str">
        <f t="shared" si="65"/>
        <v/>
      </c>
      <c r="AF68" s="15" t="str">
        <f t="shared" si="65"/>
        <v/>
      </c>
      <c r="AG68" s="15" t="str">
        <f t="shared" si="65"/>
        <v/>
      </c>
      <c r="AH68" s="15" t="str">
        <f t="shared" si="65"/>
        <v/>
      </c>
      <c r="AI68" s="15" t="str">
        <f t="shared" si="65"/>
        <v/>
      </c>
      <c r="AJ68" s="15" t="str">
        <f t="shared" si="65"/>
        <v/>
      </c>
      <c r="AK68" s="15" t="str">
        <f t="shared" si="65"/>
        <v/>
      </c>
      <c r="AL68" s="15" t="str">
        <f t="shared" si="65"/>
        <v/>
      </c>
      <c r="AM68" s="15" t="str">
        <f t="shared" si="65"/>
        <v/>
      </c>
      <c r="AN68" s="15" t="str">
        <f t="shared" si="65"/>
        <v/>
      </c>
      <c r="AO68" s="15" t="str">
        <f t="shared" si="65"/>
        <v/>
      </c>
      <c r="AP68" s="15" t="str">
        <f t="shared" si="65"/>
        <v/>
      </c>
      <c r="AQ68" s="15" t="str">
        <f t="shared" si="65"/>
        <v/>
      </c>
      <c r="AR68" s="15" t="str">
        <f t="shared" si="65"/>
        <v/>
      </c>
      <c r="AS68" s="15" t="str">
        <f t="shared" si="65"/>
        <v/>
      </c>
      <c r="AT68" s="15" t="str">
        <f t="shared" si="65"/>
        <v/>
      </c>
      <c r="AU68" s="15" t="str">
        <f t="shared" si="65"/>
        <v/>
      </c>
      <c r="AV68" s="15" t="str">
        <f t="shared" si="65"/>
        <v/>
      </c>
      <c r="AW68" s="15" t="str">
        <f t="shared" si="65"/>
        <v/>
      </c>
      <c r="AX68" s="15" t="str">
        <f t="shared" si="65"/>
        <v/>
      </c>
      <c r="AY68" s="15" t="str">
        <f t="shared" si="65"/>
        <v/>
      </c>
    </row>
    <row r="69" ht="12.0" customHeight="1">
      <c r="A69" s="12">
        <f t="shared" si="1"/>
        <v>27</v>
      </c>
      <c r="B69" s="13">
        <f t="shared" si="2"/>
        <v>56</v>
      </c>
      <c r="C69" s="12">
        <f t="shared" si="3"/>
        <v>4.48</v>
      </c>
      <c r="D69" s="12">
        <f t="shared" si="4"/>
        <v>1.244444444</v>
      </c>
      <c r="E69" s="12">
        <f t="shared" si="5"/>
        <v>21.42557075</v>
      </c>
      <c r="F69" s="12">
        <f t="shared" si="6"/>
        <v>160.6917806</v>
      </c>
      <c r="G69" s="12">
        <f t="shared" si="7"/>
        <v>26.78196344</v>
      </c>
      <c r="H69" s="12">
        <f t="shared" si="8"/>
        <v>-4</v>
      </c>
      <c r="I69" s="12">
        <f t="shared" si="9"/>
        <v>23</v>
      </c>
      <c r="J69" s="12">
        <f t="shared" si="10"/>
        <v>9.5</v>
      </c>
      <c r="L69" s="15" t="str">
        <f t="shared" ref="L69:AY69" si="66">IF(L$13="","",IF(AND(L$13&gt;$H68,L$13&lt;=$I68),IF(AND(MOD($B$6,2)=1,L$13=ROUNDUP($J68,0)),"0",IF(L$13=INT($H68)+1,ROUNDDOWN(ABS(L$13-$J68),0),IF(L$13=INT($I68),ROUNDUP(ABS(L$13-$J68),0),""))),""))</f>
        <v/>
      </c>
      <c r="M69" s="15" t="str">
        <f t="shared" si="66"/>
        <v/>
      </c>
      <c r="N69" s="15" t="str">
        <f t="shared" si="66"/>
        <v/>
      </c>
      <c r="O69" s="15" t="str">
        <f t="shared" si="66"/>
        <v/>
      </c>
      <c r="P69" s="15" t="str">
        <f t="shared" si="66"/>
        <v/>
      </c>
      <c r="Q69" s="15" t="str">
        <f t="shared" si="66"/>
        <v/>
      </c>
      <c r="R69" s="15" t="str">
        <f t="shared" si="66"/>
        <v/>
      </c>
      <c r="S69" s="15" t="str">
        <f t="shared" si="66"/>
        <v/>
      </c>
      <c r="T69" s="15" t="str">
        <f t="shared" si="66"/>
        <v/>
      </c>
      <c r="U69" s="15" t="str">
        <f t="shared" si="66"/>
        <v/>
      </c>
      <c r="V69" s="15" t="str">
        <f t="shared" si="66"/>
        <v/>
      </c>
      <c r="W69" s="15" t="str">
        <f t="shared" si="66"/>
        <v/>
      </c>
      <c r="X69" s="15" t="str">
        <f t="shared" si="66"/>
        <v/>
      </c>
      <c r="Y69" s="15" t="str">
        <f t="shared" si="66"/>
        <v/>
      </c>
      <c r="Z69" s="15" t="str">
        <f t="shared" si="66"/>
        <v/>
      </c>
      <c r="AA69" s="15" t="str">
        <f t="shared" si="66"/>
        <v/>
      </c>
      <c r="AB69" s="15" t="str">
        <f t="shared" si="66"/>
        <v/>
      </c>
      <c r="AC69" s="15" t="str">
        <f t="shared" si="66"/>
        <v/>
      </c>
      <c r="AD69" s="15" t="str">
        <f t="shared" si="66"/>
        <v/>
      </c>
      <c r="AE69" s="15" t="str">
        <f t="shared" si="66"/>
        <v/>
      </c>
      <c r="AF69" s="15" t="str">
        <f t="shared" si="66"/>
        <v/>
      </c>
      <c r="AG69" s="15" t="str">
        <f t="shared" si="66"/>
        <v/>
      </c>
      <c r="AH69" s="15" t="str">
        <f t="shared" si="66"/>
        <v/>
      </c>
      <c r="AI69" s="15" t="str">
        <f t="shared" si="66"/>
        <v/>
      </c>
      <c r="AJ69" s="15" t="str">
        <f t="shared" si="66"/>
        <v/>
      </c>
      <c r="AK69" s="15" t="str">
        <f t="shared" si="66"/>
        <v/>
      </c>
      <c r="AL69" s="15" t="str">
        <f t="shared" si="66"/>
        <v/>
      </c>
      <c r="AM69" s="15" t="str">
        <f t="shared" si="66"/>
        <v/>
      </c>
      <c r="AN69" s="15" t="str">
        <f t="shared" si="66"/>
        <v/>
      </c>
      <c r="AO69" s="15" t="str">
        <f t="shared" si="66"/>
        <v/>
      </c>
      <c r="AP69" s="15" t="str">
        <f t="shared" si="66"/>
        <v/>
      </c>
      <c r="AQ69" s="15" t="str">
        <f t="shared" si="66"/>
        <v/>
      </c>
      <c r="AR69" s="15" t="str">
        <f t="shared" si="66"/>
        <v/>
      </c>
      <c r="AS69" s="15" t="str">
        <f t="shared" si="66"/>
        <v/>
      </c>
      <c r="AT69" s="15" t="str">
        <f t="shared" si="66"/>
        <v/>
      </c>
      <c r="AU69" s="15" t="str">
        <f t="shared" si="66"/>
        <v/>
      </c>
      <c r="AV69" s="15" t="str">
        <f t="shared" si="66"/>
        <v/>
      </c>
      <c r="AW69" s="15" t="str">
        <f t="shared" si="66"/>
        <v/>
      </c>
      <c r="AX69" s="15" t="str">
        <f t="shared" si="66"/>
        <v/>
      </c>
      <c r="AY69" s="15" t="str">
        <f t="shared" si="66"/>
        <v/>
      </c>
    </row>
    <row r="70" ht="12.0" customHeight="1">
      <c r="A70" s="12">
        <f t="shared" si="1"/>
        <v>27</v>
      </c>
      <c r="B70" s="13">
        <f t="shared" si="2"/>
        <v>57</v>
      </c>
      <c r="C70" s="12">
        <f t="shared" si="3"/>
        <v>4.56</v>
      </c>
      <c r="D70" s="12">
        <f t="shared" si="4"/>
        <v>1.266666667</v>
      </c>
      <c r="E70" s="12">
        <f t="shared" si="5"/>
        <v>21.58141335</v>
      </c>
      <c r="F70" s="12">
        <f t="shared" si="6"/>
        <v>161.8606002</v>
      </c>
      <c r="G70" s="12">
        <f t="shared" si="7"/>
        <v>26.97676669</v>
      </c>
      <c r="H70" s="12">
        <f t="shared" si="8"/>
        <v>-4</v>
      </c>
      <c r="I70" s="12">
        <f t="shared" si="9"/>
        <v>23</v>
      </c>
      <c r="J70" s="12">
        <f t="shared" si="10"/>
        <v>9.5</v>
      </c>
      <c r="L70" s="15" t="str">
        <f t="shared" ref="L70:AY70" si="67">IF(L$13="","",IF(AND(L$13&gt;$H69,L$13&lt;=$I69),IF(AND(MOD($B$6,2)=1,L$13=ROUNDUP($J69,0)),"0",IF(L$13=INT($H69)+1,ROUNDDOWN(ABS(L$13-$J69),0),IF(L$13=INT($I69),ROUNDUP(ABS(L$13-$J69),0),""))),""))</f>
        <v/>
      </c>
      <c r="M70" s="15" t="str">
        <f t="shared" si="67"/>
        <v/>
      </c>
      <c r="N70" s="15" t="str">
        <f t="shared" si="67"/>
        <v/>
      </c>
      <c r="O70" s="15" t="str">
        <f t="shared" si="67"/>
        <v/>
      </c>
      <c r="P70" s="15" t="str">
        <f t="shared" si="67"/>
        <v/>
      </c>
      <c r="Q70" s="15" t="str">
        <f t="shared" si="67"/>
        <v/>
      </c>
      <c r="R70" s="15" t="str">
        <f t="shared" si="67"/>
        <v/>
      </c>
      <c r="S70" s="15" t="str">
        <f t="shared" si="67"/>
        <v/>
      </c>
      <c r="T70" s="15" t="str">
        <f t="shared" si="67"/>
        <v/>
      </c>
      <c r="U70" s="15" t="str">
        <f t="shared" si="67"/>
        <v/>
      </c>
      <c r="V70" s="15" t="str">
        <f t="shared" si="67"/>
        <v/>
      </c>
      <c r="W70" s="15" t="str">
        <f t="shared" si="67"/>
        <v/>
      </c>
      <c r="X70" s="15" t="str">
        <f t="shared" si="67"/>
        <v/>
      </c>
      <c r="Y70" s="15" t="str">
        <f t="shared" si="67"/>
        <v/>
      </c>
      <c r="Z70" s="15" t="str">
        <f t="shared" si="67"/>
        <v/>
      </c>
      <c r="AA70" s="15" t="str">
        <f t="shared" si="67"/>
        <v/>
      </c>
      <c r="AB70" s="15" t="str">
        <f t="shared" si="67"/>
        <v/>
      </c>
      <c r="AC70" s="15" t="str">
        <f t="shared" si="67"/>
        <v/>
      </c>
      <c r="AD70" s="15" t="str">
        <f t="shared" si="67"/>
        <v/>
      </c>
      <c r="AE70" s="15" t="str">
        <f t="shared" si="67"/>
        <v/>
      </c>
      <c r="AF70" s="15" t="str">
        <f t="shared" si="67"/>
        <v/>
      </c>
      <c r="AG70" s="15" t="str">
        <f t="shared" si="67"/>
        <v/>
      </c>
      <c r="AH70" s="15" t="str">
        <f t="shared" si="67"/>
        <v/>
      </c>
      <c r="AI70" s="15" t="str">
        <f t="shared" si="67"/>
        <v/>
      </c>
      <c r="AJ70" s="15" t="str">
        <f t="shared" si="67"/>
        <v/>
      </c>
      <c r="AK70" s="15" t="str">
        <f t="shared" si="67"/>
        <v/>
      </c>
      <c r="AL70" s="15" t="str">
        <f t="shared" si="67"/>
        <v/>
      </c>
      <c r="AM70" s="15" t="str">
        <f t="shared" si="67"/>
        <v/>
      </c>
      <c r="AN70" s="15" t="str">
        <f t="shared" si="67"/>
        <v/>
      </c>
      <c r="AO70" s="15" t="str">
        <f t="shared" si="67"/>
        <v/>
      </c>
      <c r="AP70" s="15" t="str">
        <f t="shared" si="67"/>
        <v/>
      </c>
      <c r="AQ70" s="15" t="str">
        <f t="shared" si="67"/>
        <v/>
      </c>
      <c r="AR70" s="15" t="str">
        <f t="shared" si="67"/>
        <v/>
      </c>
      <c r="AS70" s="15" t="str">
        <f t="shared" si="67"/>
        <v/>
      </c>
      <c r="AT70" s="15" t="str">
        <f t="shared" si="67"/>
        <v/>
      </c>
      <c r="AU70" s="15" t="str">
        <f t="shared" si="67"/>
        <v/>
      </c>
      <c r="AV70" s="15" t="str">
        <f t="shared" si="67"/>
        <v/>
      </c>
      <c r="AW70" s="15" t="str">
        <f t="shared" si="67"/>
        <v/>
      </c>
      <c r="AX70" s="15" t="str">
        <f t="shared" si="67"/>
        <v/>
      </c>
      <c r="AY70" s="15" t="str">
        <f t="shared" si="67"/>
        <v/>
      </c>
    </row>
    <row r="71" ht="12.0" customHeight="1">
      <c r="A71" s="12">
        <f t="shared" si="1"/>
        <v>27</v>
      </c>
      <c r="B71" s="13">
        <f t="shared" si="2"/>
        <v>58</v>
      </c>
      <c r="C71" s="12">
        <f t="shared" si="3"/>
        <v>4.64</v>
      </c>
      <c r="D71" s="12">
        <f t="shared" si="4"/>
        <v>1.288888889</v>
      </c>
      <c r="E71" s="12">
        <f t="shared" si="5"/>
        <v>21.72659891</v>
      </c>
      <c r="F71" s="12">
        <f t="shared" si="6"/>
        <v>162.9494918</v>
      </c>
      <c r="G71" s="12">
        <f t="shared" si="7"/>
        <v>27.15824863</v>
      </c>
      <c r="H71" s="12">
        <f t="shared" si="8"/>
        <v>-4</v>
      </c>
      <c r="I71" s="12">
        <f t="shared" si="9"/>
        <v>23</v>
      </c>
      <c r="J71" s="12">
        <f t="shared" si="10"/>
        <v>9.5</v>
      </c>
      <c r="L71" s="15" t="str">
        <f t="shared" ref="L71:AY71" si="68">IF(L$13="","",IF(AND(L$13&gt;$H70,L$13&lt;=$I70),IF(AND(MOD($B$6,2)=1,L$13=ROUNDUP($J70,0)),"0",IF(L$13=INT($H70)+1,ROUNDDOWN(ABS(L$13-$J70),0),IF(L$13=INT($I70),ROUNDUP(ABS(L$13-$J70),0),""))),""))</f>
        <v/>
      </c>
      <c r="M71" s="15" t="str">
        <f t="shared" si="68"/>
        <v/>
      </c>
      <c r="N71" s="15" t="str">
        <f t="shared" si="68"/>
        <v/>
      </c>
      <c r="O71" s="15" t="str">
        <f t="shared" si="68"/>
        <v/>
      </c>
      <c r="P71" s="15" t="str">
        <f t="shared" si="68"/>
        <v/>
      </c>
      <c r="Q71" s="15" t="str">
        <f t="shared" si="68"/>
        <v/>
      </c>
      <c r="R71" s="15" t="str">
        <f t="shared" si="68"/>
        <v/>
      </c>
      <c r="S71" s="15" t="str">
        <f t="shared" si="68"/>
        <v/>
      </c>
      <c r="T71" s="15" t="str">
        <f t="shared" si="68"/>
        <v/>
      </c>
      <c r="U71" s="15" t="str">
        <f t="shared" si="68"/>
        <v/>
      </c>
      <c r="V71" s="15" t="str">
        <f t="shared" si="68"/>
        <v/>
      </c>
      <c r="W71" s="15" t="str">
        <f t="shared" si="68"/>
        <v/>
      </c>
      <c r="X71" s="15" t="str">
        <f t="shared" si="68"/>
        <v/>
      </c>
      <c r="Y71" s="15" t="str">
        <f t="shared" si="68"/>
        <v/>
      </c>
      <c r="Z71" s="15" t="str">
        <f t="shared" si="68"/>
        <v/>
      </c>
      <c r="AA71" s="15" t="str">
        <f t="shared" si="68"/>
        <v/>
      </c>
      <c r="AB71" s="15" t="str">
        <f t="shared" si="68"/>
        <v/>
      </c>
      <c r="AC71" s="15" t="str">
        <f t="shared" si="68"/>
        <v/>
      </c>
      <c r="AD71" s="15" t="str">
        <f t="shared" si="68"/>
        <v/>
      </c>
      <c r="AE71" s="15" t="str">
        <f t="shared" si="68"/>
        <v/>
      </c>
      <c r="AF71" s="15" t="str">
        <f t="shared" si="68"/>
        <v/>
      </c>
      <c r="AG71" s="15" t="str">
        <f t="shared" si="68"/>
        <v/>
      </c>
      <c r="AH71" s="15" t="str">
        <f t="shared" si="68"/>
        <v/>
      </c>
      <c r="AI71" s="15" t="str">
        <f t="shared" si="68"/>
        <v/>
      </c>
      <c r="AJ71" s="15" t="str">
        <f t="shared" si="68"/>
        <v/>
      </c>
      <c r="AK71" s="15" t="str">
        <f t="shared" si="68"/>
        <v/>
      </c>
      <c r="AL71" s="15" t="str">
        <f t="shared" si="68"/>
        <v/>
      </c>
      <c r="AM71" s="15" t="str">
        <f t="shared" si="68"/>
        <v/>
      </c>
      <c r="AN71" s="15" t="str">
        <f t="shared" si="68"/>
        <v/>
      </c>
      <c r="AO71" s="15" t="str">
        <f t="shared" si="68"/>
        <v/>
      </c>
      <c r="AP71" s="15" t="str">
        <f t="shared" si="68"/>
        <v/>
      </c>
      <c r="AQ71" s="15" t="str">
        <f t="shared" si="68"/>
        <v/>
      </c>
      <c r="AR71" s="15" t="str">
        <f t="shared" si="68"/>
        <v/>
      </c>
      <c r="AS71" s="15" t="str">
        <f t="shared" si="68"/>
        <v/>
      </c>
      <c r="AT71" s="15" t="str">
        <f t="shared" si="68"/>
        <v/>
      </c>
      <c r="AU71" s="15" t="str">
        <f t="shared" si="68"/>
        <v/>
      </c>
      <c r="AV71" s="15" t="str">
        <f t="shared" si="68"/>
        <v/>
      </c>
      <c r="AW71" s="15" t="str">
        <f t="shared" si="68"/>
        <v/>
      </c>
      <c r="AX71" s="15" t="str">
        <f t="shared" si="68"/>
        <v/>
      </c>
      <c r="AY71" s="15" t="str">
        <f t="shared" si="68"/>
        <v/>
      </c>
    </row>
    <row r="72" ht="12.0" customHeight="1">
      <c r="A72" s="12">
        <f t="shared" si="1"/>
        <v>27</v>
      </c>
      <c r="B72" s="13">
        <f t="shared" si="2"/>
        <v>59</v>
      </c>
      <c r="C72" s="12">
        <f t="shared" si="3"/>
        <v>4.72</v>
      </c>
      <c r="D72" s="12">
        <f t="shared" si="4"/>
        <v>1.311111111</v>
      </c>
      <c r="E72" s="12">
        <f t="shared" si="5"/>
        <v>21.86105572</v>
      </c>
      <c r="F72" s="12">
        <f t="shared" si="6"/>
        <v>163.9579179</v>
      </c>
      <c r="G72" s="12">
        <f t="shared" si="7"/>
        <v>27.32631965</v>
      </c>
      <c r="H72" s="12">
        <f t="shared" si="8"/>
        <v>-4</v>
      </c>
      <c r="I72" s="12">
        <f t="shared" si="9"/>
        <v>23</v>
      </c>
      <c r="J72" s="12">
        <f t="shared" si="10"/>
        <v>9.5</v>
      </c>
      <c r="L72" s="15" t="str">
        <f t="shared" ref="L72:AY72" si="69">IF(L$13="","",IF(AND(L$13&gt;$H71,L$13&lt;=$I71),IF(AND(MOD($B$6,2)=1,L$13=ROUNDUP($J71,0)),"0",IF(L$13=INT($H71)+1,ROUNDDOWN(ABS(L$13-$J71),0),IF(L$13=INT($I71),ROUNDUP(ABS(L$13-$J71),0),""))),""))</f>
        <v/>
      </c>
      <c r="M72" s="15" t="str">
        <f t="shared" si="69"/>
        <v/>
      </c>
      <c r="N72" s="15" t="str">
        <f t="shared" si="69"/>
        <v/>
      </c>
      <c r="O72" s="15" t="str">
        <f t="shared" si="69"/>
        <v/>
      </c>
      <c r="P72" s="15" t="str">
        <f t="shared" si="69"/>
        <v/>
      </c>
      <c r="Q72" s="15" t="str">
        <f t="shared" si="69"/>
        <v/>
      </c>
      <c r="R72" s="15" t="str">
        <f t="shared" si="69"/>
        <v/>
      </c>
      <c r="S72" s="15" t="str">
        <f t="shared" si="69"/>
        <v/>
      </c>
      <c r="T72" s="15" t="str">
        <f t="shared" si="69"/>
        <v/>
      </c>
      <c r="U72" s="15" t="str">
        <f t="shared" si="69"/>
        <v/>
      </c>
      <c r="V72" s="15" t="str">
        <f t="shared" si="69"/>
        <v/>
      </c>
      <c r="W72" s="15" t="str">
        <f t="shared" si="69"/>
        <v/>
      </c>
      <c r="X72" s="15" t="str">
        <f t="shared" si="69"/>
        <v/>
      </c>
      <c r="Y72" s="15" t="str">
        <f t="shared" si="69"/>
        <v/>
      </c>
      <c r="Z72" s="15" t="str">
        <f t="shared" si="69"/>
        <v/>
      </c>
      <c r="AA72" s="15" t="str">
        <f t="shared" si="69"/>
        <v/>
      </c>
      <c r="AB72" s="15" t="str">
        <f t="shared" si="69"/>
        <v/>
      </c>
      <c r="AC72" s="15" t="str">
        <f t="shared" si="69"/>
        <v/>
      </c>
      <c r="AD72" s="15" t="str">
        <f t="shared" si="69"/>
        <v/>
      </c>
      <c r="AE72" s="15" t="str">
        <f t="shared" si="69"/>
        <v/>
      </c>
      <c r="AF72" s="15" t="str">
        <f t="shared" si="69"/>
        <v/>
      </c>
      <c r="AG72" s="15" t="str">
        <f t="shared" si="69"/>
        <v/>
      </c>
      <c r="AH72" s="15" t="str">
        <f t="shared" si="69"/>
        <v/>
      </c>
      <c r="AI72" s="15" t="str">
        <f t="shared" si="69"/>
        <v/>
      </c>
      <c r="AJ72" s="15" t="str">
        <f t="shared" si="69"/>
        <v/>
      </c>
      <c r="AK72" s="15" t="str">
        <f t="shared" si="69"/>
        <v/>
      </c>
      <c r="AL72" s="15" t="str">
        <f t="shared" si="69"/>
        <v/>
      </c>
      <c r="AM72" s="15" t="str">
        <f t="shared" si="69"/>
        <v/>
      </c>
      <c r="AN72" s="15" t="str">
        <f t="shared" si="69"/>
        <v/>
      </c>
      <c r="AO72" s="15" t="str">
        <f t="shared" si="69"/>
        <v/>
      </c>
      <c r="AP72" s="15" t="str">
        <f t="shared" si="69"/>
        <v/>
      </c>
      <c r="AQ72" s="15" t="str">
        <f t="shared" si="69"/>
        <v/>
      </c>
      <c r="AR72" s="15" t="str">
        <f t="shared" si="69"/>
        <v/>
      </c>
      <c r="AS72" s="15" t="str">
        <f t="shared" si="69"/>
        <v/>
      </c>
      <c r="AT72" s="15" t="str">
        <f t="shared" si="69"/>
        <v/>
      </c>
      <c r="AU72" s="15" t="str">
        <f t="shared" si="69"/>
        <v/>
      </c>
      <c r="AV72" s="15" t="str">
        <f t="shared" si="69"/>
        <v/>
      </c>
      <c r="AW72" s="15" t="str">
        <f t="shared" si="69"/>
        <v/>
      </c>
      <c r="AX72" s="15" t="str">
        <f t="shared" si="69"/>
        <v/>
      </c>
      <c r="AY72" s="15" t="str">
        <f t="shared" si="69"/>
        <v/>
      </c>
    </row>
    <row r="73" ht="12.0" customHeight="1">
      <c r="A73" s="12">
        <f t="shared" si="1"/>
        <v>27</v>
      </c>
      <c r="B73" s="13">
        <f t="shared" si="2"/>
        <v>60</v>
      </c>
      <c r="C73" s="12">
        <f t="shared" si="3"/>
        <v>4.8</v>
      </c>
      <c r="D73" s="12">
        <f t="shared" si="4"/>
        <v>1.333333333</v>
      </c>
      <c r="E73" s="12">
        <f t="shared" si="5"/>
        <v>21.98471739</v>
      </c>
      <c r="F73" s="12">
        <f t="shared" si="6"/>
        <v>164.8853804</v>
      </c>
      <c r="G73" s="12">
        <f t="shared" si="7"/>
        <v>27.48089674</v>
      </c>
      <c r="H73" s="12">
        <f t="shared" si="8"/>
        <v>-4</v>
      </c>
      <c r="I73" s="12">
        <f t="shared" si="9"/>
        <v>23</v>
      </c>
      <c r="J73" s="12">
        <f t="shared" si="10"/>
        <v>9.5</v>
      </c>
      <c r="L73" s="15" t="str">
        <f t="shared" ref="L73:AY73" si="70">IF(L$13="","",IF(AND(L$13&gt;$H72,L$13&lt;=$I72),IF(AND(MOD($B$6,2)=1,L$13=ROUNDUP($J72,0)),"0",IF(L$13=INT($H72)+1,ROUNDDOWN(ABS(L$13-$J72),0),IF(L$13=INT($I72),ROUNDUP(ABS(L$13-$J72),0),""))),""))</f>
        <v/>
      </c>
      <c r="M73" s="15" t="str">
        <f t="shared" si="70"/>
        <v/>
      </c>
      <c r="N73" s="15" t="str">
        <f t="shared" si="70"/>
        <v/>
      </c>
      <c r="O73" s="15" t="str">
        <f t="shared" si="70"/>
        <v/>
      </c>
      <c r="P73" s="15" t="str">
        <f t="shared" si="70"/>
        <v/>
      </c>
      <c r="Q73" s="15" t="str">
        <f t="shared" si="70"/>
        <v/>
      </c>
      <c r="R73" s="15" t="str">
        <f t="shared" si="70"/>
        <v/>
      </c>
      <c r="S73" s="15" t="str">
        <f t="shared" si="70"/>
        <v/>
      </c>
      <c r="T73" s="15" t="str">
        <f t="shared" si="70"/>
        <v/>
      </c>
      <c r="U73" s="15" t="str">
        <f t="shared" si="70"/>
        <v/>
      </c>
      <c r="V73" s="15" t="str">
        <f t="shared" si="70"/>
        <v/>
      </c>
      <c r="W73" s="15" t="str">
        <f t="shared" si="70"/>
        <v/>
      </c>
      <c r="X73" s="15" t="str">
        <f t="shared" si="70"/>
        <v/>
      </c>
      <c r="Y73" s="15" t="str">
        <f t="shared" si="70"/>
        <v/>
      </c>
      <c r="Z73" s="15" t="str">
        <f t="shared" si="70"/>
        <v/>
      </c>
      <c r="AA73" s="15" t="str">
        <f t="shared" si="70"/>
        <v/>
      </c>
      <c r="AB73" s="15" t="str">
        <f t="shared" si="70"/>
        <v/>
      </c>
      <c r="AC73" s="15" t="str">
        <f t="shared" si="70"/>
        <v/>
      </c>
      <c r="AD73" s="15" t="str">
        <f t="shared" si="70"/>
        <v/>
      </c>
      <c r="AE73" s="15" t="str">
        <f t="shared" si="70"/>
        <v/>
      </c>
      <c r="AF73" s="15" t="str">
        <f t="shared" si="70"/>
        <v/>
      </c>
      <c r="AG73" s="15" t="str">
        <f t="shared" si="70"/>
        <v/>
      </c>
      <c r="AH73" s="15" t="str">
        <f t="shared" si="70"/>
        <v/>
      </c>
      <c r="AI73" s="15" t="str">
        <f t="shared" si="70"/>
        <v/>
      </c>
      <c r="AJ73" s="15" t="str">
        <f t="shared" si="70"/>
        <v/>
      </c>
      <c r="AK73" s="15" t="str">
        <f t="shared" si="70"/>
        <v/>
      </c>
      <c r="AL73" s="15" t="str">
        <f t="shared" si="70"/>
        <v/>
      </c>
      <c r="AM73" s="15" t="str">
        <f t="shared" si="70"/>
        <v/>
      </c>
      <c r="AN73" s="15" t="str">
        <f t="shared" si="70"/>
        <v/>
      </c>
      <c r="AO73" s="15" t="str">
        <f t="shared" si="70"/>
        <v/>
      </c>
      <c r="AP73" s="15" t="str">
        <f t="shared" si="70"/>
        <v/>
      </c>
      <c r="AQ73" s="15" t="str">
        <f t="shared" si="70"/>
        <v/>
      </c>
      <c r="AR73" s="15" t="str">
        <f t="shared" si="70"/>
        <v/>
      </c>
      <c r="AS73" s="15" t="str">
        <f t="shared" si="70"/>
        <v/>
      </c>
      <c r="AT73" s="15" t="str">
        <f t="shared" si="70"/>
        <v/>
      </c>
      <c r="AU73" s="15" t="str">
        <f t="shared" si="70"/>
        <v/>
      </c>
      <c r="AV73" s="15" t="str">
        <f t="shared" si="70"/>
        <v/>
      </c>
      <c r="AW73" s="15" t="str">
        <f t="shared" si="70"/>
        <v/>
      </c>
      <c r="AX73" s="15" t="str">
        <f t="shared" si="70"/>
        <v/>
      </c>
      <c r="AY73" s="15" t="str">
        <f t="shared" si="70"/>
        <v/>
      </c>
    </row>
    <row r="74" ht="12.0" customHeight="1">
      <c r="A74" s="12">
        <f t="shared" si="1"/>
        <v>28</v>
      </c>
      <c r="B74" s="13">
        <f t="shared" si="2"/>
        <v>61</v>
      </c>
      <c r="C74" s="12">
        <f t="shared" si="3"/>
        <v>4.88</v>
      </c>
      <c r="D74" s="12">
        <f t="shared" si="4"/>
        <v>1.355555556</v>
      </c>
      <c r="E74" s="12">
        <f t="shared" si="5"/>
        <v>22.09752286</v>
      </c>
      <c r="F74" s="12">
        <f t="shared" si="6"/>
        <v>165.7314214</v>
      </c>
      <c r="G74" s="12">
        <f t="shared" si="7"/>
        <v>27.62190357</v>
      </c>
      <c r="H74" s="12">
        <f t="shared" si="8"/>
        <v>-4.5</v>
      </c>
      <c r="I74" s="12">
        <f t="shared" si="9"/>
        <v>23.5</v>
      </c>
      <c r="J74" s="12">
        <f t="shared" si="10"/>
        <v>9.5</v>
      </c>
      <c r="L74" s="15" t="str">
        <f t="shared" ref="L74:AY74" si="71">IF(L$13="","",IF(AND(L$13&gt;$H73,L$13&lt;=$I73),IF(AND(MOD($B$6,2)=1,L$13=ROUNDUP($J73,0)),"0",IF(L$13=INT($H73)+1,ROUNDDOWN(ABS(L$13-$J73),0),IF(L$13=INT($I73),ROUNDUP(ABS(L$13-$J73),0),""))),""))</f>
        <v/>
      </c>
      <c r="M74" s="15" t="str">
        <f t="shared" si="71"/>
        <v/>
      </c>
      <c r="N74" s="15" t="str">
        <f t="shared" si="71"/>
        <v/>
      </c>
      <c r="O74" s="15" t="str">
        <f t="shared" si="71"/>
        <v/>
      </c>
      <c r="P74" s="15" t="str">
        <f t="shared" si="71"/>
        <v/>
      </c>
      <c r="Q74" s="15" t="str">
        <f t="shared" si="71"/>
        <v/>
      </c>
      <c r="R74" s="15" t="str">
        <f t="shared" si="71"/>
        <v/>
      </c>
      <c r="S74" s="15" t="str">
        <f t="shared" si="71"/>
        <v/>
      </c>
      <c r="T74" s="15" t="str">
        <f t="shared" si="71"/>
        <v/>
      </c>
      <c r="U74" s="15" t="str">
        <f t="shared" si="71"/>
        <v/>
      </c>
      <c r="V74" s="15" t="str">
        <f t="shared" si="71"/>
        <v/>
      </c>
      <c r="W74" s="15" t="str">
        <f t="shared" si="71"/>
        <v/>
      </c>
      <c r="X74" s="15" t="str">
        <f t="shared" si="71"/>
        <v/>
      </c>
      <c r="Y74" s="15" t="str">
        <f t="shared" si="71"/>
        <v/>
      </c>
      <c r="Z74" s="15" t="str">
        <f t="shared" si="71"/>
        <v/>
      </c>
      <c r="AA74" s="15" t="str">
        <f t="shared" si="71"/>
        <v/>
      </c>
      <c r="AB74" s="15" t="str">
        <f t="shared" si="71"/>
        <v/>
      </c>
      <c r="AC74" s="15" t="str">
        <f t="shared" si="71"/>
        <v/>
      </c>
      <c r="AD74" s="15" t="str">
        <f t="shared" si="71"/>
        <v/>
      </c>
      <c r="AE74" s="15" t="str">
        <f t="shared" si="71"/>
        <v/>
      </c>
      <c r="AF74" s="15" t="str">
        <f t="shared" si="71"/>
        <v/>
      </c>
      <c r="AG74" s="15" t="str">
        <f t="shared" si="71"/>
        <v/>
      </c>
      <c r="AH74" s="15" t="str">
        <f t="shared" si="71"/>
        <v/>
      </c>
      <c r="AI74" s="15" t="str">
        <f t="shared" si="71"/>
        <v/>
      </c>
      <c r="AJ74" s="15" t="str">
        <f t="shared" si="71"/>
        <v/>
      </c>
      <c r="AK74" s="15" t="str">
        <f t="shared" si="71"/>
        <v/>
      </c>
      <c r="AL74" s="15" t="str">
        <f t="shared" si="71"/>
        <v/>
      </c>
      <c r="AM74" s="15" t="str">
        <f t="shared" si="71"/>
        <v/>
      </c>
      <c r="AN74" s="15" t="str">
        <f t="shared" si="71"/>
        <v/>
      </c>
      <c r="AO74" s="15" t="str">
        <f t="shared" si="71"/>
        <v/>
      </c>
      <c r="AP74" s="15" t="str">
        <f t="shared" si="71"/>
        <v/>
      </c>
      <c r="AQ74" s="15" t="str">
        <f t="shared" si="71"/>
        <v/>
      </c>
      <c r="AR74" s="15" t="str">
        <f t="shared" si="71"/>
        <v/>
      </c>
      <c r="AS74" s="15" t="str">
        <f t="shared" si="71"/>
        <v/>
      </c>
      <c r="AT74" s="15" t="str">
        <f t="shared" si="71"/>
        <v/>
      </c>
      <c r="AU74" s="15" t="str">
        <f t="shared" si="71"/>
        <v/>
      </c>
      <c r="AV74" s="15" t="str">
        <f t="shared" si="71"/>
        <v/>
      </c>
      <c r="AW74" s="15" t="str">
        <f t="shared" si="71"/>
        <v/>
      </c>
      <c r="AX74" s="15" t="str">
        <f t="shared" si="71"/>
        <v/>
      </c>
      <c r="AY74" s="15" t="str">
        <f t="shared" si="71"/>
        <v/>
      </c>
    </row>
    <row r="75" ht="12.0" customHeight="1">
      <c r="A75" s="12">
        <f t="shared" si="1"/>
        <v>28</v>
      </c>
      <c r="B75" s="13">
        <f t="shared" si="2"/>
        <v>62</v>
      </c>
      <c r="C75" s="12">
        <f t="shared" si="3"/>
        <v>4.96</v>
      </c>
      <c r="D75" s="12">
        <f t="shared" si="4"/>
        <v>1.377777778</v>
      </c>
      <c r="E75" s="12">
        <f t="shared" si="5"/>
        <v>22.19941642</v>
      </c>
      <c r="F75" s="12">
        <f t="shared" si="6"/>
        <v>166.4956231</v>
      </c>
      <c r="G75" s="12">
        <f t="shared" si="7"/>
        <v>27.74927052</v>
      </c>
      <c r="H75" s="12">
        <f t="shared" si="8"/>
        <v>-4.5</v>
      </c>
      <c r="I75" s="12">
        <f t="shared" si="9"/>
        <v>23.5</v>
      </c>
      <c r="J75" s="12">
        <f t="shared" si="10"/>
        <v>9.5</v>
      </c>
      <c r="L75" s="15" t="str">
        <f t="shared" ref="L75:AY75" si="72">IF(L$13="","",IF(AND(L$13&gt;$H74,L$13&lt;=$I74),IF(AND(MOD($B$6,2)=1,L$13=ROUNDUP($J74,0)),"0",IF(L$13=INT($H74)+1,ROUNDDOWN(ABS(L$13-$J74),0),IF(L$13=INT($I74),ROUNDUP(ABS(L$13-$J74),0),""))),""))</f>
        <v/>
      </c>
      <c r="M75" s="15" t="str">
        <f t="shared" si="72"/>
        <v/>
      </c>
      <c r="N75" s="15" t="str">
        <f t="shared" si="72"/>
        <v/>
      </c>
      <c r="O75" s="15" t="str">
        <f t="shared" si="72"/>
        <v/>
      </c>
      <c r="P75" s="15" t="str">
        <f t="shared" si="72"/>
        <v/>
      </c>
      <c r="Q75" s="15" t="str">
        <f t="shared" si="72"/>
        <v/>
      </c>
      <c r="R75" s="15" t="str">
        <f t="shared" si="72"/>
        <v/>
      </c>
      <c r="S75" s="15" t="str">
        <f t="shared" si="72"/>
        <v/>
      </c>
      <c r="T75" s="15" t="str">
        <f t="shared" si="72"/>
        <v/>
      </c>
      <c r="U75" s="15" t="str">
        <f t="shared" si="72"/>
        <v/>
      </c>
      <c r="V75" s="15" t="str">
        <f t="shared" si="72"/>
        <v/>
      </c>
      <c r="W75" s="15" t="str">
        <f t="shared" si="72"/>
        <v/>
      </c>
      <c r="X75" s="15" t="str">
        <f t="shared" si="72"/>
        <v/>
      </c>
      <c r="Y75" s="15" t="str">
        <f t="shared" si="72"/>
        <v/>
      </c>
      <c r="Z75" s="15" t="str">
        <f t="shared" si="72"/>
        <v/>
      </c>
      <c r="AA75" s="15" t="str">
        <f t="shared" si="72"/>
        <v/>
      </c>
      <c r="AB75" s="15" t="str">
        <f t="shared" si="72"/>
        <v/>
      </c>
      <c r="AC75" s="15" t="str">
        <f t="shared" si="72"/>
        <v/>
      </c>
      <c r="AD75" s="15" t="str">
        <f t="shared" si="72"/>
        <v/>
      </c>
      <c r="AE75" s="15" t="str">
        <f t="shared" si="72"/>
        <v/>
      </c>
      <c r="AF75" s="15" t="str">
        <f t="shared" si="72"/>
        <v/>
      </c>
      <c r="AG75" s="15" t="str">
        <f t="shared" si="72"/>
        <v/>
      </c>
      <c r="AH75" s="15" t="str">
        <f t="shared" si="72"/>
        <v/>
      </c>
      <c r="AI75" s="15" t="str">
        <f t="shared" si="72"/>
        <v/>
      </c>
      <c r="AJ75" s="15" t="str">
        <f t="shared" si="72"/>
        <v/>
      </c>
      <c r="AK75" s="15" t="str">
        <f t="shared" si="72"/>
        <v/>
      </c>
      <c r="AL75" s="15" t="str">
        <f t="shared" si="72"/>
        <v/>
      </c>
      <c r="AM75" s="15" t="str">
        <f t="shared" si="72"/>
        <v/>
      </c>
      <c r="AN75" s="15" t="str">
        <f t="shared" si="72"/>
        <v/>
      </c>
      <c r="AO75" s="15" t="str">
        <f t="shared" si="72"/>
        <v/>
      </c>
      <c r="AP75" s="15" t="str">
        <f t="shared" si="72"/>
        <v/>
      </c>
      <c r="AQ75" s="15" t="str">
        <f t="shared" si="72"/>
        <v/>
      </c>
      <c r="AR75" s="15" t="str">
        <f t="shared" si="72"/>
        <v/>
      </c>
      <c r="AS75" s="15" t="str">
        <f t="shared" si="72"/>
        <v/>
      </c>
      <c r="AT75" s="15" t="str">
        <f t="shared" si="72"/>
        <v/>
      </c>
      <c r="AU75" s="15" t="str">
        <f t="shared" si="72"/>
        <v/>
      </c>
      <c r="AV75" s="15" t="str">
        <f t="shared" si="72"/>
        <v/>
      </c>
      <c r="AW75" s="15" t="str">
        <f t="shared" si="72"/>
        <v/>
      </c>
      <c r="AX75" s="15" t="str">
        <f t="shared" si="72"/>
        <v/>
      </c>
      <c r="AY75" s="15" t="str">
        <f t="shared" si="72"/>
        <v/>
      </c>
    </row>
    <row r="76" ht="12.0" customHeight="1">
      <c r="A76" s="12">
        <f t="shared" si="1"/>
        <v>28</v>
      </c>
      <c r="B76" s="13">
        <f t="shared" si="2"/>
        <v>63</v>
      </c>
      <c r="C76" s="12">
        <f t="shared" si="3"/>
        <v>5.04</v>
      </c>
      <c r="D76" s="12">
        <f t="shared" si="4"/>
        <v>1.4</v>
      </c>
      <c r="E76" s="12">
        <f t="shared" si="5"/>
        <v>22.29034775</v>
      </c>
      <c r="F76" s="12">
        <f t="shared" si="6"/>
        <v>167.1776081</v>
      </c>
      <c r="G76" s="12">
        <f t="shared" si="7"/>
        <v>27.86293469</v>
      </c>
      <c r="H76" s="12">
        <f t="shared" si="8"/>
        <v>-4.5</v>
      </c>
      <c r="I76" s="12">
        <f t="shared" si="9"/>
        <v>23.5</v>
      </c>
      <c r="J76" s="12">
        <f t="shared" si="10"/>
        <v>9.5</v>
      </c>
      <c r="L76" s="15" t="str">
        <f t="shared" ref="L76:AY76" si="73">IF(L$13="","",IF(AND(L$13&gt;$H75,L$13&lt;=$I75),IF(AND(MOD($B$6,2)=1,L$13=ROUNDUP($J75,0)),"0",IF(L$13=INT($H75)+1,ROUNDDOWN(ABS(L$13-$J75),0),IF(L$13=INT($I75),ROUNDUP(ABS(L$13-$J75),0),""))),""))</f>
        <v/>
      </c>
      <c r="M76" s="15" t="str">
        <f t="shared" si="73"/>
        <v/>
      </c>
      <c r="N76" s="15" t="str">
        <f t="shared" si="73"/>
        <v/>
      </c>
      <c r="O76" s="15" t="str">
        <f t="shared" si="73"/>
        <v/>
      </c>
      <c r="P76" s="15" t="str">
        <f t="shared" si="73"/>
        <v/>
      </c>
      <c r="Q76" s="15" t="str">
        <f t="shared" si="73"/>
        <v/>
      </c>
      <c r="R76" s="15" t="str">
        <f t="shared" si="73"/>
        <v/>
      </c>
      <c r="S76" s="15" t="str">
        <f t="shared" si="73"/>
        <v/>
      </c>
      <c r="T76" s="15" t="str">
        <f t="shared" si="73"/>
        <v/>
      </c>
      <c r="U76" s="15" t="str">
        <f t="shared" si="73"/>
        <v/>
      </c>
      <c r="V76" s="15" t="str">
        <f t="shared" si="73"/>
        <v/>
      </c>
      <c r="W76" s="15" t="str">
        <f t="shared" si="73"/>
        <v/>
      </c>
      <c r="X76" s="15" t="str">
        <f t="shared" si="73"/>
        <v/>
      </c>
      <c r="Y76" s="15" t="str">
        <f t="shared" si="73"/>
        <v/>
      </c>
      <c r="Z76" s="15" t="str">
        <f t="shared" si="73"/>
        <v/>
      </c>
      <c r="AA76" s="15" t="str">
        <f t="shared" si="73"/>
        <v/>
      </c>
      <c r="AB76" s="15" t="str">
        <f t="shared" si="73"/>
        <v/>
      </c>
      <c r="AC76" s="15" t="str">
        <f t="shared" si="73"/>
        <v/>
      </c>
      <c r="AD76" s="15" t="str">
        <f t="shared" si="73"/>
        <v/>
      </c>
      <c r="AE76" s="15" t="str">
        <f t="shared" si="73"/>
        <v/>
      </c>
      <c r="AF76" s="15" t="str">
        <f t="shared" si="73"/>
        <v/>
      </c>
      <c r="AG76" s="15" t="str">
        <f t="shared" si="73"/>
        <v/>
      </c>
      <c r="AH76" s="15" t="str">
        <f t="shared" si="73"/>
        <v/>
      </c>
      <c r="AI76" s="15" t="str">
        <f t="shared" si="73"/>
        <v/>
      </c>
      <c r="AJ76" s="15" t="str">
        <f t="shared" si="73"/>
        <v/>
      </c>
      <c r="AK76" s="15" t="str">
        <f t="shared" si="73"/>
        <v/>
      </c>
      <c r="AL76" s="15" t="str">
        <f t="shared" si="73"/>
        <v/>
      </c>
      <c r="AM76" s="15" t="str">
        <f t="shared" si="73"/>
        <v/>
      </c>
      <c r="AN76" s="15" t="str">
        <f t="shared" si="73"/>
        <v/>
      </c>
      <c r="AO76" s="15" t="str">
        <f t="shared" si="73"/>
        <v/>
      </c>
      <c r="AP76" s="15" t="str">
        <f t="shared" si="73"/>
        <v/>
      </c>
      <c r="AQ76" s="15" t="str">
        <f t="shared" si="73"/>
        <v/>
      </c>
      <c r="AR76" s="15" t="str">
        <f t="shared" si="73"/>
        <v/>
      </c>
      <c r="AS76" s="15" t="str">
        <f t="shared" si="73"/>
        <v/>
      </c>
      <c r="AT76" s="15" t="str">
        <f t="shared" si="73"/>
        <v/>
      </c>
      <c r="AU76" s="15" t="str">
        <f t="shared" si="73"/>
        <v/>
      </c>
      <c r="AV76" s="15" t="str">
        <f t="shared" si="73"/>
        <v/>
      </c>
      <c r="AW76" s="15" t="str">
        <f t="shared" si="73"/>
        <v/>
      </c>
      <c r="AX76" s="15" t="str">
        <f t="shared" si="73"/>
        <v/>
      </c>
      <c r="AY76" s="15" t="str">
        <f t="shared" si="73"/>
        <v/>
      </c>
    </row>
    <row r="77" ht="12.0" customHeight="1">
      <c r="A77" s="12">
        <f t="shared" si="1"/>
        <v>28</v>
      </c>
      <c r="B77" s="13">
        <f t="shared" si="2"/>
        <v>64</v>
      </c>
      <c r="C77" s="12">
        <f t="shared" si="3"/>
        <v>5.12</v>
      </c>
      <c r="D77" s="12">
        <f t="shared" si="4"/>
        <v>1.422222222</v>
      </c>
      <c r="E77" s="12">
        <f t="shared" si="5"/>
        <v>22.37027196</v>
      </c>
      <c r="F77" s="12">
        <f t="shared" si="6"/>
        <v>167.7770397</v>
      </c>
      <c r="G77" s="12">
        <f t="shared" si="7"/>
        <v>27.96283995</v>
      </c>
      <c r="H77" s="12">
        <f t="shared" si="8"/>
        <v>-4.5</v>
      </c>
      <c r="I77" s="12">
        <f t="shared" si="9"/>
        <v>23.5</v>
      </c>
      <c r="J77" s="12">
        <f t="shared" si="10"/>
        <v>9.5</v>
      </c>
      <c r="L77" s="15" t="str">
        <f t="shared" ref="L77:AY77" si="74">IF(L$13="","",IF(AND(L$13&gt;$H76,L$13&lt;=$I76),IF(AND(MOD($B$6,2)=1,L$13=ROUNDUP($J76,0)),"0",IF(L$13=INT($H76)+1,ROUNDDOWN(ABS(L$13-$J76),0),IF(L$13=INT($I76),ROUNDUP(ABS(L$13-$J76),0),""))),""))</f>
        <v/>
      </c>
      <c r="M77" s="15" t="str">
        <f t="shared" si="74"/>
        <v/>
      </c>
      <c r="N77" s="15" t="str">
        <f t="shared" si="74"/>
        <v/>
      </c>
      <c r="O77" s="15" t="str">
        <f t="shared" si="74"/>
        <v/>
      </c>
      <c r="P77" s="15" t="str">
        <f t="shared" si="74"/>
        <v/>
      </c>
      <c r="Q77" s="15" t="str">
        <f t="shared" si="74"/>
        <v/>
      </c>
      <c r="R77" s="15" t="str">
        <f t="shared" si="74"/>
        <v/>
      </c>
      <c r="S77" s="15" t="str">
        <f t="shared" si="74"/>
        <v/>
      </c>
      <c r="T77" s="15" t="str">
        <f t="shared" si="74"/>
        <v/>
      </c>
      <c r="U77" s="15" t="str">
        <f t="shared" si="74"/>
        <v/>
      </c>
      <c r="V77" s="15" t="str">
        <f t="shared" si="74"/>
        <v/>
      </c>
      <c r="W77" s="15" t="str">
        <f t="shared" si="74"/>
        <v/>
      </c>
      <c r="X77" s="15" t="str">
        <f t="shared" si="74"/>
        <v/>
      </c>
      <c r="Y77" s="15" t="str">
        <f t="shared" si="74"/>
        <v/>
      </c>
      <c r="Z77" s="15" t="str">
        <f t="shared" si="74"/>
        <v/>
      </c>
      <c r="AA77" s="15" t="str">
        <f t="shared" si="74"/>
        <v/>
      </c>
      <c r="AB77" s="15" t="str">
        <f t="shared" si="74"/>
        <v/>
      </c>
      <c r="AC77" s="15" t="str">
        <f t="shared" si="74"/>
        <v/>
      </c>
      <c r="AD77" s="15" t="str">
        <f t="shared" si="74"/>
        <v/>
      </c>
      <c r="AE77" s="15" t="str">
        <f t="shared" si="74"/>
        <v/>
      </c>
      <c r="AF77" s="15" t="str">
        <f t="shared" si="74"/>
        <v/>
      </c>
      <c r="AG77" s="15" t="str">
        <f t="shared" si="74"/>
        <v/>
      </c>
      <c r="AH77" s="15" t="str">
        <f t="shared" si="74"/>
        <v/>
      </c>
      <c r="AI77" s="15" t="str">
        <f t="shared" si="74"/>
        <v/>
      </c>
      <c r="AJ77" s="15" t="str">
        <f t="shared" si="74"/>
        <v/>
      </c>
      <c r="AK77" s="15" t="str">
        <f t="shared" si="74"/>
        <v/>
      </c>
      <c r="AL77" s="15" t="str">
        <f t="shared" si="74"/>
        <v/>
      </c>
      <c r="AM77" s="15" t="str">
        <f t="shared" si="74"/>
        <v/>
      </c>
      <c r="AN77" s="15" t="str">
        <f t="shared" si="74"/>
        <v/>
      </c>
      <c r="AO77" s="15" t="str">
        <f t="shared" si="74"/>
        <v/>
      </c>
      <c r="AP77" s="15" t="str">
        <f t="shared" si="74"/>
        <v/>
      </c>
      <c r="AQ77" s="15" t="str">
        <f t="shared" si="74"/>
        <v/>
      </c>
      <c r="AR77" s="15" t="str">
        <f t="shared" si="74"/>
        <v/>
      </c>
      <c r="AS77" s="15" t="str">
        <f t="shared" si="74"/>
        <v/>
      </c>
      <c r="AT77" s="15" t="str">
        <f t="shared" si="74"/>
        <v/>
      </c>
      <c r="AU77" s="15" t="str">
        <f t="shared" si="74"/>
        <v/>
      </c>
      <c r="AV77" s="15" t="str">
        <f t="shared" si="74"/>
        <v/>
      </c>
      <c r="AW77" s="15" t="str">
        <f t="shared" si="74"/>
        <v/>
      </c>
      <c r="AX77" s="15" t="str">
        <f t="shared" si="74"/>
        <v/>
      </c>
      <c r="AY77" s="15" t="str">
        <f t="shared" si="74"/>
        <v/>
      </c>
    </row>
    <row r="78" ht="12.0" customHeight="1">
      <c r="A78" s="12">
        <f t="shared" si="1"/>
        <v>28</v>
      </c>
      <c r="B78" s="13">
        <f t="shared" si="2"/>
        <v>65</v>
      </c>
      <c r="C78" s="12">
        <f t="shared" si="3"/>
        <v>5.2</v>
      </c>
      <c r="D78" s="12">
        <f t="shared" si="4"/>
        <v>1.444444444</v>
      </c>
      <c r="E78" s="12">
        <f t="shared" si="5"/>
        <v>22.43914958</v>
      </c>
      <c r="F78" s="12">
        <f t="shared" si="6"/>
        <v>168.2936218</v>
      </c>
      <c r="G78" s="12">
        <f t="shared" si="7"/>
        <v>28.04893697</v>
      </c>
      <c r="H78" s="12">
        <f t="shared" si="8"/>
        <v>-4.5</v>
      </c>
      <c r="I78" s="12">
        <f t="shared" si="9"/>
        <v>23.5</v>
      </c>
      <c r="J78" s="12">
        <f t="shared" si="10"/>
        <v>9.5</v>
      </c>
      <c r="L78" s="15" t="str">
        <f t="shared" ref="L78:AY78" si="75">IF(L$13="","",IF(AND(L$13&gt;$H77,L$13&lt;=$I77),IF(AND(MOD($B$6,2)=1,L$13=ROUNDUP($J77,0)),"0",IF(L$13=INT($H77)+1,ROUNDDOWN(ABS(L$13-$J77),0),IF(L$13=INT($I77),ROUNDUP(ABS(L$13-$J77),0),""))),""))</f>
        <v/>
      </c>
      <c r="M78" s="15" t="str">
        <f t="shared" si="75"/>
        <v/>
      </c>
      <c r="N78" s="15" t="str">
        <f t="shared" si="75"/>
        <v/>
      </c>
      <c r="O78" s="15" t="str">
        <f t="shared" si="75"/>
        <v/>
      </c>
      <c r="P78" s="15" t="str">
        <f t="shared" si="75"/>
        <v/>
      </c>
      <c r="Q78" s="15" t="str">
        <f t="shared" si="75"/>
        <v/>
      </c>
      <c r="R78" s="15" t="str">
        <f t="shared" si="75"/>
        <v/>
      </c>
      <c r="S78" s="15" t="str">
        <f t="shared" si="75"/>
        <v/>
      </c>
      <c r="T78" s="15" t="str">
        <f t="shared" si="75"/>
        <v/>
      </c>
      <c r="U78" s="15" t="str">
        <f t="shared" si="75"/>
        <v/>
      </c>
      <c r="V78" s="15" t="str">
        <f t="shared" si="75"/>
        <v/>
      </c>
      <c r="W78" s="15" t="str">
        <f t="shared" si="75"/>
        <v/>
      </c>
      <c r="X78" s="15" t="str">
        <f t="shared" si="75"/>
        <v/>
      </c>
      <c r="Y78" s="15" t="str">
        <f t="shared" si="75"/>
        <v/>
      </c>
      <c r="Z78" s="15" t="str">
        <f t="shared" si="75"/>
        <v/>
      </c>
      <c r="AA78" s="15" t="str">
        <f t="shared" si="75"/>
        <v/>
      </c>
      <c r="AB78" s="15" t="str">
        <f t="shared" si="75"/>
        <v/>
      </c>
      <c r="AC78" s="15" t="str">
        <f t="shared" si="75"/>
        <v/>
      </c>
      <c r="AD78" s="15" t="str">
        <f t="shared" si="75"/>
        <v/>
      </c>
      <c r="AE78" s="15" t="str">
        <f t="shared" si="75"/>
        <v/>
      </c>
      <c r="AF78" s="15" t="str">
        <f t="shared" si="75"/>
        <v/>
      </c>
      <c r="AG78" s="15" t="str">
        <f t="shared" si="75"/>
        <v/>
      </c>
      <c r="AH78" s="15" t="str">
        <f t="shared" si="75"/>
        <v/>
      </c>
      <c r="AI78" s="15" t="str">
        <f t="shared" si="75"/>
        <v/>
      </c>
      <c r="AJ78" s="15" t="str">
        <f t="shared" si="75"/>
        <v/>
      </c>
      <c r="AK78" s="15" t="str">
        <f t="shared" si="75"/>
        <v/>
      </c>
      <c r="AL78" s="15" t="str">
        <f t="shared" si="75"/>
        <v/>
      </c>
      <c r="AM78" s="15" t="str">
        <f t="shared" si="75"/>
        <v/>
      </c>
      <c r="AN78" s="15" t="str">
        <f t="shared" si="75"/>
        <v/>
      </c>
      <c r="AO78" s="15" t="str">
        <f t="shared" si="75"/>
        <v/>
      </c>
      <c r="AP78" s="15" t="str">
        <f t="shared" si="75"/>
        <v/>
      </c>
      <c r="AQ78" s="15" t="str">
        <f t="shared" si="75"/>
        <v/>
      </c>
      <c r="AR78" s="15" t="str">
        <f t="shared" si="75"/>
        <v/>
      </c>
      <c r="AS78" s="15" t="str">
        <f t="shared" si="75"/>
        <v/>
      </c>
      <c r="AT78" s="15" t="str">
        <f t="shared" si="75"/>
        <v/>
      </c>
      <c r="AU78" s="15" t="str">
        <f t="shared" si="75"/>
        <v/>
      </c>
      <c r="AV78" s="15" t="str">
        <f t="shared" si="75"/>
        <v/>
      </c>
      <c r="AW78" s="15" t="str">
        <f t="shared" si="75"/>
        <v/>
      </c>
      <c r="AX78" s="15" t="str">
        <f t="shared" si="75"/>
        <v/>
      </c>
      <c r="AY78" s="15" t="str">
        <f t="shared" si="75"/>
        <v/>
      </c>
    </row>
    <row r="79" ht="12.0" customHeight="1">
      <c r="A79" s="12">
        <f t="shared" si="1"/>
        <v>28</v>
      </c>
      <c r="B79" s="13">
        <f t="shared" si="2"/>
        <v>66</v>
      </c>
      <c r="C79" s="12">
        <f t="shared" si="3"/>
        <v>5.28</v>
      </c>
      <c r="D79" s="12">
        <f t="shared" si="4"/>
        <v>1.466666667</v>
      </c>
      <c r="E79" s="12">
        <f t="shared" si="5"/>
        <v>22.49694659</v>
      </c>
      <c r="F79" s="12">
        <f t="shared" si="6"/>
        <v>168.7270994</v>
      </c>
      <c r="G79" s="12">
        <f t="shared" si="7"/>
        <v>28.12118324</v>
      </c>
      <c r="H79" s="12">
        <f t="shared" si="8"/>
        <v>-4.5</v>
      </c>
      <c r="I79" s="12">
        <f t="shared" si="9"/>
        <v>23.5</v>
      </c>
      <c r="J79" s="12">
        <f t="shared" si="10"/>
        <v>9.5</v>
      </c>
      <c r="L79" s="15" t="str">
        <f t="shared" ref="L79:AY79" si="76">IF(L$13="","",IF(AND(L$13&gt;$H78,L$13&lt;=$I78),IF(AND(MOD($B$6,2)=1,L$13=ROUNDUP($J78,0)),"0",IF(L$13=INT($H78)+1,ROUNDDOWN(ABS(L$13-$J78),0),IF(L$13=INT($I78),ROUNDUP(ABS(L$13-$J78),0),""))),""))</f>
        <v/>
      </c>
      <c r="M79" s="15" t="str">
        <f t="shared" si="76"/>
        <v/>
      </c>
      <c r="N79" s="15" t="str">
        <f t="shared" si="76"/>
        <v/>
      </c>
      <c r="O79" s="15" t="str">
        <f t="shared" si="76"/>
        <v/>
      </c>
      <c r="P79" s="15" t="str">
        <f t="shared" si="76"/>
        <v/>
      </c>
      <c r="Q79" s="15" t="str">
        <f t="shared" si="76"/>
        <v/>
      </c>
      <c r="R79" s="15" t="str">
        <f t="shared" si="76"/>
        <v/>
      </c>
      <c r="S79" s="15" t="str">
        <f t="shared" si="76"/>
        <v/>
      </c>
      <c r="T79" s="15" t="str">
        <f t="shared" si="76"/>
        <v/>
      </c>
      <c r="U79" s="15" t="str">
        <f t="shared" si="76"/>
        <v/>
      </c>
      <c r="V79" s="15" t="str">
        <f t="shared" si="76"/>
        <v/>
      </c>
      <c r="W79" s="15" t="str">
        <f t="shared" si="76"/>
        <v/>
      </c>
      <c r="X79" s="15" t="str">
        <f t="shared" si="76"/>
        <v/>
      </c>
      <c r="Y79" s="15" t="str">
        <f t="shared" si="76"/>
        <v/>
      </c>
      <c r="Z79" s="15" t="str">
        <f t="shared" si="76"/>
        <v/>
      </c>
      <c r="AA79" s="15" t="str">
        <f t="shared" si="76"/>
        <v/>
      </c>
      <c r="AB79" s="15" t="str">
        <f t="shared" si="76"/>
        <v/>
      </c>
      <c r="AC79" s="15" t="str">
        <f t="shared" si="76"/>
        <v/>
      </c>
      <c r="AD79" s="15" t="str">
        <f t="shared" si="76"/>
        <v/>
      </c>
      <c r="AE79" s="15" t="str">
        <f t="shared" si="76"/>
        <v/>
      </c>
      <c r="AF79" s="15" t="str">
        <f t="shared" si="76"/>
        <v/>
      </c>
      <c r="AG79" s="15" t="str">
        <f t="shared" si="76"/>
        <v/>
      </c>
      <c r="AH79" s="15" t="str">
        <f t="shared" si="76"/>
        <v/>
      </c>
      <c r="AI79" s="15" t="str">
        <f t="shared" si="76"/>
        <v/>
      </c>
      <c r="AJ79" s="15" t="str">
        <f t="shared" si="76"/>
        <v/>
      </c>
      <c r="AK79" s="15" t="str">
        <f t="shared" si="76"/>
        <v/>
      </c>
      <c r="AL79" s="15" t="str">
        <f t="shared" si="76"/>
        <v/>
      </c>
      <c r="AM79" s="15" t="str">
        <f t="shared" si="76"/>
        <v/>
      </c>
      <c r="AN79" s="15" t="str">
        <f t="shared" si="76"/>
        <v/>
      </c>
      <c r="AO79" s="15" t="str">
        <f t="shared" si="76"/>
        <v/>
      </c>
      <c r="AP79" s="15" t="str">
        <f t="shared" si="76"/>
        <v/>
      </c>
      <c r="AQ79" s="15" t="str">
        <f t="shared" si="76"/>
        <v/>
      </c>
      <c r="AR79" s="15" t="str">
        <f t="shared" si="76"/>
        <v/>
      </c>
      <c r="AS79" s="15" t="str">
        <f t="shared" si="76"/>
        <v/>
      </c>
      <c r="AT79" s="15" t="str">
        <f t="shared" si="76"/>
        <v/>
      </c>
      <c r="AU79" s="15" t="str">
        <f t="shared" si="76"/>
        <v/>
      </c>
      <c r="AV79" s="15" t="str">
        <f t="shared" si="76"/>
        <v/>
      </c>
      <c r="AW79" s="15" t="str">
        <f t="shared" si="76"/>
        <v/>
      </c>
      <c r="AX79" s="15" t="str">
        <f t="shared" si="76"/>
        <v/>
      </c>
      <c r="AY79" s="15" t="str">
        <f t="shared" si="76"/>
        <v/>
      </c>
    </row>
    <row r="80" ht="12.0" customHeight="1">
      <c r="A80" s="12">
        <f t="shared" si="1"/>
        <v>28</v>
      </c>
      <c r="B80" s="13">
        <f t="shared" si="2"/>
        <v>67</v>
      </c>
      <c r="C80" s="12">
        <f t="shared" si="3"/>
        <v>5.36</v>
      </c>
      <c r="D80" s="12">
        <f t="shared" si="4"/>
        <v>1.488888889</v>
      </c>
      <c r="E80" s="12">
        <f t="shared" si="5"/>
        <v>22.54363445</v>
      </c>
      <c r="F80" s="12">
        <f t="shared" si="6"/>
        <v>169.0772584</v>
      </c>
      <c r="G80" s="12">
        <f t="shared" si="7"/>
        <v>28.17954307</v>
      </c>
      <c r="H80" s="12">
        <f t="shared" si="8"/>
        <v>-4.5</v>
      </c>
      <c r="I80" s="12">
        <f t="shared" si="9"/>
        <v>23.5</v>
      </c>
      <c r="J80" s="12">
        <f t="shared" si="10"/>
        <v>9.5</v>
      </c>
      <c r="L80" s="15" t="str">
        <f t="shared" ref="L80:AY80" si="77">IF(L$13="","",IF(AND(L$13&gt;$H79,L$13&lt;=$I79),IF(AND(MOD($B$6,2)=1,L$13=ROUNDUP($J79,0)),"0",IF(L$13=INT($H79)+1,ROUNDDOWN(ABS(L$13-$J79),0),IF(L$13=INT($I79),ROUNDUP(ABS(L$13-$J79),0),""))),""))</f>
        <v/>
      </c>
      <c r="M80" s="15" t="str">
        <f t="shared" si="77"/>
        <v/>
      </c>
      <c r="N80" s="15" t="str">
        <f t="shared" si="77"/>
        <v/>
      </c>
      <c r="O80" s="15" t="str">
        <f t="shared" si="77"/>
        <v/>
      </c>
      <c r="P80" s="15" t="str">
        <f t="shared" si="77"/>
        <v/>
      </c>
      <c r="Q80" s="15" t="str">
        <f t="shared" si="77"/>
        <v/>
      </c>
      <c r="R80" s="15" t="str">
        <f t="shared" si="77"/>
        <v/>
      </c>
      <c r="S80" s="15" t="str">
        <f t="shared" si="77"/>
        <v/>
      </c>
      <c r="T80" s="15" t="str">
        <f t="shared" si="77"/>
        <v/>
      </c>
      <c r="U80" s="15" t="str">
        <f t="shared" si="77"/>
        <v/>
      </c>
      <c r="V80" s="15" t="str">
        <f t="shared" si="77"/>
        <v/>
      </c>
      <c r="W80" s="15" t="str">
        <f t="shared" si="77"/>
        <v/>
      </c>
      <c r="X80" s="15" t="str">
        <f t="shared" si="77"/>
        <v/>
      </c>
      <c r="Y80" s="15" t="str">
        <f t="shared" si="77"/>
        <v/>
      </c>
      <c r="Z80" s="15" t="str">
        <f t="shared" si="77"/>
        <v/>
      </c>
      <c r="AA80" s="15" t="str">
        <f t="shared" si="77"/>
        <v/>
      </c>
      <c r="AB80" s="15" t="str">
        <f t="shared" si="77"/>
        <v/>
      </c>
      <c r="AC80" s="15" t="str">
        <f t="shared" si="77"/>
        <v/>
      </c>
      <c r="AD80" s="15" t="str">
        <f t="shared" si="77"/>
        <v/>
      </c>
      <c r="AE80" s="15" t="str">
        <f t="shared" si="77"/>
        <v/>
      </c>
      <c r="AF80" s="15" t="str">
        <f t="shared" si="77"/>
        <v/>
      </c>
      <c r="AG80" s="15" t="str">
        <f t="shared" si="77"/>
        <v/>
      </c>
      <c r="AH80" s="15" t="str">
        <f t="shared" si="77"/>
        <v/>
      </c>
      <c r="AI80" s="15" t="str">
        <f t="shared" si="77"/>
        <v/>
      </c>
      <c r="AJ80" s="15" t="str">
        <f t="shared" si="77"/>
        <v/>
      </c>
      <c r="AK80" s="15" t="str">
        <f t="shared" si="77"/>
        <v/>
      </c>
      <c r="AL80" s="15" t="str">
        <f t="shared" si="77"/>
        <v/>
      </c>
      <c r="AM80" s="15" t="str">
        <f t="shared" si="77"/>
        <v/>
      </c>
      <c r="AN80" s="15" t="str">
        <f t="shared" si="77"/>
        <v/>
      </c>
      <c r="AO80" s="15" t="str">
        <f t="shared" si="77"/>
        <v/>
      </c>
      <c r="AP80" s="15" t="str">
        <f t="shared" si="77"/>
        <v/>
      </c>
      <c r="AQ80" s="15" t="str">
        <f t="shared" si="77"/>
        <v/>
      </c>
      <c r="AR80" s="15" t="str">
        <f t="shared" si="77"/>
        <v/>
      </c>
      <c r="AS80" s="15" t="str">
        <f t="shared" si="77"/>
        <v/>
      </c>
      <c r="AT80" s="15" t="str">
        <f t="shared" si="77"/>
        <v/>
      </c>
      <c r="AU80" s="15" t="str">
        <f t="shared" si="77"/>
        <v/>
      </c>
      <c r="AV80" s="15" t="str">
        <f t="shared" si="77"/>
        <v/>
      </c>
      <c r="AW80" s="15" t="str">
        <f t="shared" si="77"/>
        <v/>
      </c>
      <c r="AX80" s="15" t="str">
        <f t="shared" si="77"/>
        <v/>
      </c>
      <c r="AY80" s="15" t="str">
        <f t="shared" si="77"/>
        <v/>
      </c>
    </row>
    <row r="81" ht="12.0" customHeight="1">
      <c r="A81" s="12">
        <f t="shared" si="1"/>
        <v>28</v>
      </c>
      <c r="B81" s="13">
        <f t="shared" si="2"/>
        <v>68</v>
      </c>
      <c r="C81" s="12">
        <f t="shared" si="3"/>
        <v>5.44</v>
      </c>
      <c r="D81" s="12">
        <f t="shared" si="4"/>
        <v>1.511111111</v>
      </c>
      <c r="E81" s="12">
        <f t="shared" si="5"/>
        <v>22.57919012</v>
      </c>
      <c r="F81" s="12">
        <f t="shared" si="6"/>
        <v>169.3439259</v>
      </c>
      <c r="G81" s="12">
        <f t="shared" si="7"/>
        <v>28.22398765</v>
      </c>
      <c r="H81" s="12">
        <f t="shared" si="8"/>
        <v>-4.5</v>
      </c>
      <c r="I81" s="12">
        <f t="shared" si="9"/>
        <v>23.5</v>
      </c>
      <c r="J81" s="12">
        <f t="shared" si="10"/>
        <v>9.5</v>
      </c>
      <c r="L81" s="15" t="str">
        <f t="shared" ref="L81:AY81" si="78">IF(L$13="","",IF(AND(L$13&gt;$H80,L$13&lt;=$I80),IF(AND(MOD($B$6,2)=1,L$13=ROUNDUP($J80,0)),"0",IF(L$13=INT($H80)+1,ROUNDDOWN(ABS(L$13-$J80),0),IF(L$13=INT($I80),ROUNDUP(ABS(L$13-$J80),0),""))),""))</f>
        <v/>
      </c>
      <c r="M81" s="15" t="str">
        <f t="shared" si="78"/>
        <v/>
      </c>
      <c r="N81" s="15" t="str">
        <f t="shared" si="78"/>
        <v/>
      </c>
      <c r="O81" s="15" t="str">
        <f t="shared" si="78"/>
        <v/>
      </c>
      <c r="P81" s="15" t="str">
        <f t="shared" si="78"/>
        <v/>
      </c>
      <c r="Q81" s="15" t="str">
        <f t="shared" si="78"/>
        <v/>
      </c>
      <c r="R81" s="15" t="str">
        <f t="shared" si="78"/>
        <v/>
      </c>
      <c r="S81" s="15" t="str">
        <f t="shared" si="78"/>
        <v/>
      </c>
      <c r="T81" s="15" t="str">
        <f t="shared" si="78"/>
        <v/>
      </c>
      <c r="U81" s="15" t="str">
        <f t="shared" si="78"/>
        <v/>
      </c>
      <c r="V81" s="15" t="str">
        <f t="shared" si="78"/>
        <v/>
      </c>
      <c r="W81" s="15" t="str">
        <f t="shared" si="78"/>
        <v/>
      </c>
      <c r="X81" s="15" t="str">
        <f t="shared" si="78"/>
        <v/>
      </c>
      <c r="Y81" s="15" t="str">
        <f t="shared" si="78"/>
        <v/>
      </c>
      <c r="Z81" s="15" t="str">
        <f t="shared" si="78"/>
        <v/>
      </c>
      <c r="AA81" s="15" t="str">
        <f t="shared" si="78"/>
        <v/>
      </c>
      <c r="AB81" s="15" t="str">
        <f t="shared" si="78"/>
        <v/>
      </c>
      <c r="AC81" s="15" t="str">
        <f t="shared" si="78"/>
        <v/>
      </c>
      <c r="AD81" s="15" t="str">
        <f t="shared" si="78"/>
        <v/>
      </c>
      <c r="AE81" s="15" t="str">
        <f t="shared" si="78"/>
        <v/>
      </c>
      <c r="AF81" s="15" t="str">
        <f t="shared" si="78"/>
        <v/>
      </c>
      <c r="AG81" s="15" t="str">
        <f t="shared" si="78"/>
        <v/>
      </c>
      <c r="AH81" s="15" t="str">
        <f t="shared" si="78"/>
        <v/>
      </c>
      <c r="AI81" s="15" t="str">
        <f t="shared" si="78"/>
        <v/>
      </c>
      <c r="AJ81" s="15" t="str">
        <f t="shared" si="78"/>
        <v/>
      </c>
      <c r="AK81" s="15" t="str">
        <f t="shared" si="78"/>
        <v/>
      </c>
      <c r="AL81" s="15" t="str">
        <f t="shared" si="78"/>
        <v/>
      </c>
      <c r="AM81" s="15" t="str">
        <f t="shared" si="78"/>
        <v/>
      </c>
      <c r="AN81" s="15" t="str">
        <f t="shared" si="78"/>
        <v/>
      </c>
      <c r="AO81" s="15" t="str">
        <f t="shared" si="78"/>
        <v/>
      </c>
      <c r="AP81" s="15" t="str">
        <f t="shared" si="78"/>
        <v/>
      </c>
      <c r="AQ81" s="15" t="str">
        <f t="shared" si="78"/>
        <v/>
      </c>
      <c r="AR81" s="15" t="str">
        <f t="shared" si="78"/>
        <v/>
      </c>
      <c r="AS81" s="15" t="str">
        <f t="shared" si="78"/>
        <v/>
      </c>
      <c r="AT81" s="15" t="str">
        <f t="shared" si="78"/>
        <v/>
      </c>
      <c r="AU81" s="15" t="str">
        <f t="shared" si="78"/>
        <v/>
      </c>
      <c r="AV81" s="15" t="str">
        <f t="shared" si="78"/>
        <v/>
      </c>
      <c r="AW81" s="15" t="str">
        <f t="shared" si="78"/>
        <v/>
      </c>
      <c r="AX81" s="15" t="str">
        <f t="shared" si="78"/>
        <v/>
      </c>
      <c r="AY81" s="15" t="str">
        <f t="shared" si="78"/>
        <v/>
      </c>
    </row>
    <row r="82" ht="12.0" customHeight="1">
      <c r="A82" s="12">
        <f t="shared" si="1"/>
        <v>28</v>
      </c>
      <c r="B82" s="13">
        <f t="shared" si="2"/>
        <v>69</v>
      </c>
      <c r="C82" s="12">
        <f t="shared" si="3"/>
        <v>5.52</v>
      </c>
      <c r="D82" s="12">
        <f t="shared" si="4"/>
        <v>1.533333333</v>
      </c>
      <c r="E82" s="12">
        <f t="shared" si="5"/>
        <v>22.60359602</v>
      </c>
      <c r="F82" s="12">
        <f t="shared" si="6"/>
        <v>169.5269702</v>
      </c>
      <c r="G82" s="12">
        <f t="shared" si="7"/>
        <v>28.25449503</v>
      </c>
      <c r="H82" s="12">
        <f t="shared" si="8"/>
        <v>-4.5</v>
      </c>
      <c r="I82" s="12">
        <f t="shared" si="9"/>
        <v>23.5</v>
      </c>
      <c r="J82" s="12">
        <f t="shared" si="10"/>
        <v>9.5</v>
      </c>
      <c r="L82" s="15" t="str">
        <f t="shared" ref="L82:AY82" si="79">IF(L$13="","",IF(AND(L$13&gt;$H81,L$13&lt;=$I81),IF(AND(MOD($B$6,2)=1,L$13=ROUNDUP($J81,0)),"0",IF(L$13=INT($H81)+1,ROUNDDOWN(ABS(L$13-$J81),0),IF(L$13=INT($I81),ROUNDUP(ABS(L$13-$J81),0),""))),""))</f>
        <v/>
      </c>
      <c r="M82" s="15" t="str">
        <f t="shared" si="79"/>
        <v/>
      </c>
      <c r="N82" s="15" t="str">
        <f t="shared" si="79"/>
        <v/>
      </c>
      <c r="O82" s="15" t="str">
        <f t="shared" si="79"/>
        <v/>
      </c>
      <c r="P82" s="15" t="str">
        <f t="shared" si="79"/>
        <v/>
      </c>
      <c r="Q82" s="15" t="str">
        <f t="shared" si="79"/>
        <v/>
      </c>
      <c r="R82" s="15" t="str">
        <f t="shared" si="79"/>
        <v/>
      </c>
      <c r="S82" s="15" t="str">
        <f t="shared" si="79"/>
        <v/>
      </c>
      <c r="T82" s="15" t="str">
        <f t="shared" si="79"/>
        <v/>
      </c>
      <c r="U82" s="15" t="str">
        <f t="shared" si="79"/>
        <v/>
      </c>
      <c r="V82" s="15" t="str">
        <f t="shared" si="79"/>
        <v/>
      </c>
      <c r="W82" s="15" t="str">
        <f t="shared" si="79"/>
        <v/>
      </c>
      <c r="X82" s="15" t="str">
        <f t="shared" si="79"/>
        <v/>
      </c>
      <c r="Y82" s="15" t="str">
        <f t="shared" si="79"/>
        <v/>
      </c>
      <c r="Z82" s="15" t="str">
        <f t="shared" si="79"/>
        <v/>
      </c>
      <c r="AA82" s="15" t="str">
        <f t="shared" si="79"/>
        <v/>
      </c>
      <c r="AB82" s="15" t="str">
        <f t="shared" si="79"/>
        <v/>
      </c>
      <c r="AC82" s="15" t="str">
        <f t="shared" si="79"/>
        <v/>
      </c>
      <c r="AD82" s="15" t="str">
        <f t="shared" si="79"/>
        <v/>
      </c>
      <c r="AE82" s="15" t="str">
        <f t="shared" si="79"/>
        <v/>
      </c>
      <c r="AF82" s="15" t="str">
        <f t="shared" si="79"/>
        <v/>
      </c>
      <c r="AG82" s="15" t="str">
        <f t="shared" si="79"/>
        <v/>
      </c>
      <c r="AH82" s="15" t="str">
        <f t="shared" si="79"/>
        <v/>
      </c>
      <c r="AI82" s="15" t="str">
        <f t="shared" si="79"/>
        <v/>
      </c>
      <c r="AJ82" s="15" t="str">
        <f t="shared" si="79"/>
        <v/>
      </c>
      <c r="AK82" s="15" t="str">
        <f t="shared" si="79"/>
        <v/>
      </c>
      <c r="AL82" s="15" t="str">
        <f t="shared" si="79"/>
        <v/>
      </c>
      <c r="AM82" s="15" t="str">
        <f t="shared" si="79"/>
        <v/>
      </c>
      <c r="AN82" s="15" t="str">
        <f t="shared" si="79"/>
        <v/>
      </c>
      <c r="AO82" s="15" t="str">
        <f t="shared" si="79"/>
        <v/>
      </c>
      <c r="AP82" s="15" t="str">
        <f t="shared" si="79"/>
        <v/>
      </c>
      <c r="AQ82" s="15" t="str">
        <f t="shared" si="79"/>
        <v/>
      </c>
      <c r="AR82" s="15" t="str">
        <f t="shared" si="79"/>
        <v/>
      </c>
      <c r="AS82" s="15" t="str">
        <f t="shared" si="79"/>
        <v/>
      </c>
      <c r="AT82" s="15" t="str">
        <f t="shared" si="79"/>
        <v/>
      </c>
      <c r="AU82" s="15" t="str">
        <f t="shared" si="79"/>
        <v/>
      </c>
      <c r="AV82" s="15" t="str">
        <f t="shared" si="79"/>
        <v/>
      </c>
      <c r="AW82" s="15" t="str">
        <f t="shared" si="79"/>
        <v/>
      </c>
      <c r="AX82" s="15" t="str">
        <f t="shared" si="79"/>
        <v/>
      </c>
      <c r="AY82" s="15" t="str">
        <f t="shared" si="79"/>
        <v/>
      </c>
    </row>
    <row r="83" ht="18.0" customHeight="1">
      <c r="A83" s="12">
        <f t="shared" si="1"/>
        <v>28</v>
      </c>
      <c r="B83" s="13">
        <f t="shared" si="2"/>
        <v>70</v>
      </c>
      <c r="C83" s="12">
        <f t="shared" si="3"/>
        <v>5.6</v>
      </c>
      <c r="D83" s="12">
        <f t="shared" si="4"/>
        <v>1.555555556</v>
      </c>
      <c r="E83" s="12">
        <f t="shared" si="5"/>
        <v>22.61684012</v>
      </c>
      <c r="F83" s="12">
        <f t="shared" si="6"/>
        <v>169.6263009</v>
      </c>
      <c r="G83" s="12">
        <f t="shared" si="7"/>
        <v>28.27105015</v>
      </c>
      <c r="H83" s="12">
        <f t="shared" si="8"/>
        <v>-4.5</v>
      </c>
      <c r="I83" s="12">
        <f t="shared" si="9"/>
        <v>23.5</v>
      </c>
      <c r="J83" s="12">
        <f t="shared" si="10"/>
        <v>9.5</v>
      </c>
      <c r="L83" s="15" t="str">
        <f t="shared" ref="L83:AY83" si="80">IF(L$13="","",IF(AND(L$13&gt;$H82,L$13&lt;=$I82),IF(AND(MOD($B$6,2)=1,L$13=ROUNDUP($J82,0)),"0",IF(L$13=INT($H82)+1,ROUNDDOWN(ABS(L$13-$J82),0),IF(L$13=INT($I82),ROUNDUP(ABS(L$13-$J82),0),""))),""))</f>
        <v/>
      </c>
      <c r="M83" s="15" t="str">
        <f t="shared" si="80"/>
        <v/>
      </c>
      <c r="N83" s="15" t="str">
        <f t="shared" si="80"/>
        <v/>
      </c>
      <c r="O83" s="15" t="str">
        <f t="shared" si="80"/>
        <v/>
      </c>
      <c r="P83" s="15" t="str">
        <f t="shared" si="80"/>
        <v/>
      </c>
      <c r="Q83" s="15" t="str">
        <f t="shared" si="80"/>
        <v/>
      </c>
      <c r="R83" s="15" t="str">
        <f t="shared" si="80"/>
        <v/>
      </c>
      <c r="S83" s="15" t="str">
        <f t="shared" si="80"/>
        <v/>
      </c>
      <c r="T83" s="15" t="str">
        <f t="shared" si="80"/>
        <v/>
      </c>
      <c r="U83" s="15" t="str">
        <f t="shared" si="80"/>
        <v/>
      </c>
      <c r="V83" s="15" t="str">
        <f t="shared" si="80"/>
        <v/>
      </c>
      <c r="W83" s="15" t="str">
        <f t="shared" si="80"/>
        <v/>
      </c>
      <c r="X83" s="15" t="str">
        <f t="shared" si="80"/>
        <v/>
      </c>
      <c r="Y83" s="15" t="str">
        <f t="shared" si="80"/>
        <v/>
      </c>
      <c r="Z83" s="15" t="str">
        <f t="shared" si="80"/>
        <v/>
      </c>
      <c r="AA83" s="15" t="str">
        <f t="shared" si="80"/>
        <v/>
      </c>
      <c r="AB83" s="15" t="str">
        <f t="shared" si="80"/>
        <v/>
      </c>
      <c r="AC83" s="15" t="str">
        <f t="shared" si="80"/>
        <v/>
      </c>
      <c r="AD83" s="15" t="str">
        <f t="shared" si="80"/>
        <v/>
      </c>
      <c r="AE83" s="15" t="str">
        <f t="shared" si="80"/>
        <v/>
      </c>
      <c r="AF83" s="15" t="str">
        <f t="shared" si="80"/>
        <v/>
      </c>
      <c r="AG83" s="15" t="str">
        <f t="shared" si="80"/>
        <v/>
      </c>
      <c r="AH83" s="15" t="str">
        <f t="shared" si="80"/>
        <v/>
      </c>
      <c r="AI83" s="15" t="str">
        <f t="shared" si="80"/>
        <v/>
      </c>
      <c r="AJ83" s="15" t="str">
        <f t="shared" si="80"/>
        <v/>
      </c>
      <c r="AK83" s="15" t="str">
        <f t="shared" si="80"/>
        <v/>
      </c>
      <c r="AL83" s="15" t="str">
        <f t="shared" si="80"/>
        <v/>
      </c>
      <c r="AM83" s="15" t="str">
        <f t="shared" si="80"/>
        <v/>
      </c>
      <c r="AN83" s="15" t="str">
        <f t="shared" si="80"/>
        <v/>
      </c>
      <c r="AO83" s="15" t="str">
        <f t="shared" si="80"/>
        <v/>
      </c>
      <c r="AP83" s="15" t="str">
        <f t="shared" si="80"/>
        <v/>
      </c>
      <c r="AQ83" s="15" t="str">
        <f t="shared" si="80"/>
        <v/>
      </c>
      <c r="AR83" s="15" t="str">
        <f t="shared" si="80"/>
        <v/>
      </c>
      <c r="AS83" s="15" t="str">
        <f t="shared" si="80"/>
        <v/>
      </c>
      <c r="AT83" s="15" t="str">
        <f t="shared" si="80"/>
        <v/>
      </c>
      <c r="AU83" s="15" t="str">
        <f t="shared" si="80"/>
        <v/>
      </c>
      <c r="AV83" s="15" t="str">
        <f t="shared" si="80"/>
        <v/>
      </c>
      <c r="AW83" s="15" t="str">
        <f t="shared" si="80"/>
        <v/>
      </c>
      <c r="AX83" s="15" t="str">
        <f t="shared" si="80"/>
        <v/>
      </c>
      <c r="AY83" s="15" t="str">
        <f t="shared" si="80"/>
        <v/>
      </c>
    </row>
    <row r="84" ht="18.0" customHeight="1">
      <c r="A84" s="12">
        <f t="shared" si="1"/>
        <v>28</v>
      </c>
      <c r="B84" s="13">
        <f t="shared" si="2"/>
        <v>71</v>
      </c>
      <c r="C84" s="12">
        <f t="shared" si="3"/>
        <v>5.68</v>
      </c>
      <c r="D84" s="12">
        <f t="shared" si="4"/>
        <v>1.577777778</v>
      </c>
      <c r="E84" s="12">
        <f t="shared" si="5"/>
        <v>22.61891586</v>
      </c>
      <c r="F84" s="12">
        <f t="shared" si="6"/>
        <v>169.641869</v>
      </c>
      <c r="G84" s="12">
        <f t="shared" si="7"/>
        <v>28.27364483</v>
      </c>
      <c r="H84" s="12">
        <f t="shared" si="8"/>
        <v>-4.5</v>
      </c>
      <c r="I84" s="12">
        <f t="shared" si="9"/>
        <v>23.5</v>
      </c>
      <c r="J84" s="12">
        <f t="shared" si="10"/>
        <v>9.5</v>
      </c>
      <c r="L84" s="15" t="str">
        <f t="shared" ref="L84:AY84" si="81">IF(L$13="","",IF(AND(L$13&gt;$H83,L$13&lt;=$I83),IF(AND(MOD($B$6,2)=1,L$13=ROUNDUP($J83,0)),"0",IF(L$13=INT($H83)+1,ROUNDDOWN(ABS(L$13-$J83),0),IF(L$13=INT($I83),ROUNDUP(ABS(L$13-$J83),0),""))),""))</f>
        <v/>
      </c>
      <c r="M84" s="15" t="str">
        <f t="shared" si="81"/>
        <v/>
      </c>
      <c r="N84" s="15" t="str">
        <f t="shared" si="81"/>
        <v/>
      </c>
      <c r="O84" s="15" t="str">
        <f t="shared" si="81"/>
        <v/>
      </c>
      <c r="P84" s="15" t="str">
        <f t="shared" si="81"/>
        <v/>
      </c>
      <c r="Q84" s="15" t="str">
        <f t="shared" si="81"/>
        <v/>
      </c>
      <c r="R84" s="15" t="str">
        <f t="shared" si="81"/>
        <v/>
      </c>
      <c r="S84" s="15" t="str">
        <f t="shared" si="81"/>
        <v/>
      </c>
      <c r="T84" s="15" t="str">
        <f t="shared" si="81"/>
        <v/>
      </c>
      <c r="U84" s="15" t="str">
        <f t="shared" si="81"/>
        <v/>
      </c>
      <c r="V84" s="15" t="str">
        <f t="shared" si="81"/>
        <v/>
      </c>
      <c r="W84" s="15" t="str">
        <f t="shared" si="81"/>
        <v/>
      </c>
      <c r="X84" s="15" t="str">
        <f t="shared" si="81"/>
        <v/>
      </c>
      <c r="Y84" s="15" t="str">
        <f t="shared" si="81"/>
        <v/>
      </c>
      <c r="Z84" s="15" t="str">
        <f t="shared" si="81"/>
        <v/>
      </c>
      <c r="AA84" s="15" t="str">
        <f t="shared" si="81"/>
        <v/>
      </c>
      <c r="AB84" s="15" t="str">
        <f t="shared" si="81"/>
        <v/>
      </c>
      <c r="AC84" s="15" t="str">
        <f t="shared" si="81"/>
        <v/>
      </c>
      <c r="AD84" s="15" t="str">
        <f t="shared" si="81"/>
        <v/>
      </c>
      <c r="AE84" s="15" t="str">
        <f t="shared" si="81"/>
        <v/>
      </c>
      <c r="AF84" s="15" t="str">
        <f t="shared" si="81"/>
        <v/>
      </c>
      <c r="AG84" s="15" t="str">
        <f t="shared" si="81"/>
        <v/>
      </c>
      <c r="AH84" s="15" t="str">
        <f t="shared" si="81"/>
        <v/>
      </c>
      <c r="AI84" s="15" t="str">
        <f t="shared" si="81"/>
        <v/>
      </c>
      <c r="AJ84" s="15" t="str">
        <f t="shared" si="81"/>
        <v/>
      </c>
      <c r="AK84" s="15" t="str">
        <f t="shared" si="81"/>
        <v/>
      </c>
      <c r="AL84" s="15" t="str">
        <f t="shared" si="81"/>
        <v/>
      </c>
      <c r="AM84" s="15" t="str">
        <f t="shared" si="81"/>
        <v/>
      </c>
      <c r="AN84" s="15" t="str">
        <f t="shared" si="81"/>
        <v/>
      </c>
      <c r="AO84" s="15" t="str">
        <f t="shared" si="81"/>
        <v/>
      </c>
      <c r="AP84" s="15" t="str">
        <f t="shared" si="81"/>
        <v/>
      </c>
      <c r="AQ84" s="15" t="str">
        <f t="shared" si="81"/>
        <v/>
      </c>
      <c r="AR84" s="15" t="str">
        <f t="shared" si="81"/>
        <v/>
      </c>
      <c r="AS84" s="15" t="str">
        <f t="shared" si="81"/>
        <v/>
      </c>
      <c r="AT84" s="15" t="str">
        <f t="shared" si="81"/>
        <v/>
      </c>
      <c r="AU84" s="15" t="str">
        <f t="shared" si="81"/>
        <v/>
      </c>
      <c r="AV84" s="15" t="str">
        <f t="shared" si="81"/>
        <v/>
      </c>
      <c r="AW84" s="15" t="str">
        <f t="shared" si="81"/>
        <v/>
      </c>
      <c r="AX84" s="15" t="str">
        <f t="shared" si="81"/>
        <v/>
      </c>
      <c r="AY84" s="15" t="str">
        <f t="shared" si="81"/>
        <v/>
      </c>
    </row>
    <row r="85" ht="18.0" customHeight="1">
      <c r="A85" s="13" t="str">
        <f t="shared" si="1"/>
        <v/>
      </c>
      <c r="B85" s="13" t="str">
        <f t="shared" si="2"/>
        <v/>
      </c>
      <c r="C85" s="12" t="str">
        <f t="shared" si="3"/>
        <v/>
      </c>
      <c r="D85" s="12" t="str">
        <f t="shared" si="4"/>
        <v/>
      </c>
      <c r="E85" s="12" t="str">
        <f t="shared" si="5"/>
        <v/>
      </c>
      <c r="F85" s="12" t="str">
        <f t="shared" si="6"/>
        <v/>
      </c>
      <c r="G85" s="12" t="str">
        <f t="shared" si="7"/>
        <v/>
      </c>
      <c r="H85" s="12" t="str">
        <f t="shared" si="8"/>
        <v/>
      </c>
      <c r="I85" s="12" t="str">
        <f t="shared" si="9"/>
        <v/>
      </c>
      <c r="J85" s="12" t="str">
        <f t="shared" si="10"/>
        <v/>
      </c>
      <c r="L85" s="15" t="str">
        <f t="shared" ref="L85:AY85" si="82">IF(L$13="","",IF(AND(L$13&gt;$H84,L$13&lt;=$I84),IF(AND(MOD($B$6,2)=1,L$13=ROUNDUP($J84,0)),"0",IF(L$13=INT($H84)+1,ROUNDDOWN(ABS(L$13-$J84),0),IF(L$13=INT($I84),ROUNDUP(ABS(L$13-$J84),0),""))),""))</f>
        <v/>
      </c>
      <c r="M85" s="15" t="str">
        <f t="shared" si="82"/>
        <v/>
      </c>
      <c r="N85" s="15" t="str">
        <f t="shared" si="82"/>
        <v/>
      </c>
      <c r="O85" s="15" t="str">
        <f t="shared" si="82"/>
        <v/>
      </c>
      <c r="P85" s="15" t="str">
        <f t="shared" si="82"/>
        <v/>
      </c>
      <c r="Q85" s="15" t="str">
        <f t="shared" si="82"/>
        <v/>
      </c>
      <c r="R85" s="15" t="str">
        <f t="shared" si="82"/>
        <v/>
      </c>
      <c r="S85" s="15" t="str">
        <f t="shared" si="82"/>
        <v/>
      </c>
      <c r="T85" s="15" t="str">
        <f t="shared" si="82"/>
        <v/>
      </c>
      <c r="U85" s="15" t="str">
        <f t="shared" si="82"/>
        <v/>
      </c>
      <c r="V85" s="15" t="str">
        <f t="shared" si="82"/>
        <v/>
      </c>
      <c r="W85" s="15" t="str">
        <f t="shared" si="82"/>
        <v/>
      </c>
      <c r="X85" s="15" t="str">
        <f t="shared" si="82"/>
        <v/>
      </c>
      <c r="Y85" s="15" t="str">
        <f t="shared" si="82"/>
        <v/>
      </c>
      <c r="Z85" s="15" t="str">
        <f t="shared" si="82"/>
        <v/>
      </c>
      <c r="AA85" s="15" t="str">
        <f t="shared" si="82"/>
        <v/>
      </c>
      <c r="AB85" s="15" t="str">
        <f t="shared" si="82"/>
        <v/>
      </c>
      <c r="AC85" s="15" t="str">
        <f t="shared" si="82"/>
        <v/>
      </c>
      <c r="AD85" s="15" t="str">
        <f t="shared" si="82"/>
        <v/>
      </c>
      <c r="AE85" s="15" t="str">
        <f t="shared" si="82"/>
        <v/>
      </c>
      <c r="AF85" s="15" t="str">
        <f t="shared" si="82"/>
        <v/>
      </c>
      <c r="AG85" s="15" t="str">
        <f t="shared" si="82"/>
        <v/>
      </c>
      <c r="AH85" s="15" t="str">
        <f t="shared" si="82"/>
        <v/>
      </c>
      <c r="AI85" s="15" t="str">
        <f t="shared" si="82"/>
        <v/>
      </c>
      <c r="AJ85" s="15" t="str">
        <f t="shared" si="82"/>
        <v/>
      </c>
      <c r="AK85" s="15" t="str">
        <f t="shared" si="82"/>
        <v/>
      </c>
      <c r="AL85" s="15" t="str">
        <f t="shared" si="82"/>
        <v/>
      </c>
      <c r="AM85" s="15" t="str">
        <f t="shared" si="82"/>
        <v/>
      </c>
      <c r="AN85" s="15" t="str">
        <f t="shared" si="82"/>
        <v/>
      </c>
      <c r="AO85" s="15" t="str">
        <f t="shared" si="82"/>
        <v/>
      </c>
      <c r="AP85" s="15" t="str">
        <f t="shared" si="82"/>
        <v/>
      </c>
      <c r="AQ85" s="15" t="str">
        <f t="shared" si="82"/>
        <v/>
      </c>
      <c r="AR85" s="15" t="str">
        <f t="shared" si="82"/>
        <v/>
      </c>
      <c r="AS85" s="15" t="str">
        <f t="shared" si="82"/>
        <v/>
      </c>
      <c r="AT85" s="15" t="str">
        <f t="shared" si="82"/>
        <v/>
      </c>
      <c r="AU85" s="15" t="str">
        <f t="shared" si="82"/>
        <v/>
      </c>
      <c r="AV85" s="15" t="str">
        <f t="shared" si="82"/>
        <v/>
      </c>
      <c r="AW85" s="15" t="str">
        <f t="shared" si="82"/>
        <v/>
      </c>
      <c r="AX85" s="15" t="str">
        <f t="shared" si="82"/>
        <v/>
      </c>
      <c r="AY85" s="15" t="str">
        <f t="shared" si="82"/>
        <v/>
      </c>
    </row>
    <row r="86" ht="18.0" customHeight="1">
      <c r="A86" s="13" t="str">
        <f t="shared" si="1"/>
        <v/>
      </c>
      <c r="B86" s="13" t="str">
        <f t="shared" si="2"/>
        <v/>
      </c>
      <c r="C86" s="12" t="str">
        <f t="shared" si="3"/>
        <v/>
      </c>
      <c r="D86" s="12" t="str">
        <f t="shared" si="4"/>
        <v/>
      </c>
      <c r="E86" s="12" t="str">
        <f t="shared" si="5"/>
        <v/>
      </c>
      <c r="F86" s="12" t="str">
        <f t="shared" si="6"/>
        <v/>
      </c>
      <c r="G86" s="12" t="str">
        <f t="shared" si="7"/>
        <v/>
      </c>
      <c r="H86" s="12" t="str">
        <f t="shared" si="8"/>
        <v/>
      </c>
      <c r="I86" s="12" t="str">
        <f t="shared" si="9"/>
        <v/>
      </c>
      <c r="J86" s="12" t="str">
        <f t="shared" si="10"/>
        <v/>
      </c>
      <c r="L86" s="15" t="str">
        <f t="shared" ref="L86:AY86" si="83">IF(L$13="","",IF(AND(L$13&gt;$H85,L$13&lt;=$I85),IF(AND(MOD($B$6,2)=1,L$13=ROUNDUP($J85,0)),"0",IF(L$13=INT($H85)+1,ROUNDDOWN(ABS(L$13-$J85),0),IF(L$13=INT($I85),ROUNDUP(ABS(L$13-$J85),0),""))),""))</f>
        <v/>
      </c>
      <c r="M86" s="15" t="str">
        <f t="shared" si="83"/>
        <v/>
      </c>
      <c r="N86" s="15" t="str">
        <f t="shared" si="83"/>
        <v/>
      </c>
      <c r="O86" s="15" t="str">
        <f t="shared" si="83"/>
        <v/>
      </c>
      <c r="P86" s="15" t="str">
        <f t="shared" si="83"/>
        <v/>
      </c>
      <c r="Q86" s="15" t="str">
        <f t="shared" si="83"/>
        <v/>
      </c>
      <c r="R86" s="15" t="str">
        <f t="shared" si="83"/>
        <v/>
      </c>
      <c r="S86" s="15" t="str">
        <f t="shared" si="83"/>
        <v/>
      </c>
      <c r="T86" s="15" t="str">
        <f t="shared" si="83"/>
        <v/>
      </c>
      <c r="U86" s="15" t="str">
        <f t="shared" si="83"/>
        <v/>
      </c>
      <c r="V86" s="15" t="str">
        <f t="shared" si="83"/>
        <v/>
      </c>
      <c r="W86" s="15" t="str">
        <f t="shared" si="83"/>
        <v/>
      </c>
      <c r="X86" s="15" t="str">
        <f t="shared" si="83"/>
        <v/>
      </c>
      <c r="Y86" s="15" t="str">
        <f t="shared" si="83"/>
        <v/>
      </c>
      <c r="Z86" s="15" t="str">
        <f t="shared" si="83"/>
        <v/>
      </c>
      <c r="AA86" s="15" t="str">
        <f t="shared" si="83"/>
        <v/>
      </c>
      <c r="AB86" s="15" t="str">
        <f t="shared" si="83"/>
        <v/>
      </c>
      <c r="AC86" s="15" t="str">
        <f t="shared" si="83"/>
        <v/>
      </c>
      <c r="AD86" s="15" t="str">
        <f t="shared" si="83"/>
        <v/>
      </c>
      <c r="AE86" s="15" t="str">
        <f t="shared" si="83"/>
        <v/>
      </c>
      <c r="AF86" s="15" t="str">
        <f t="shared" si="83"/>
        <v/>
      </c>
      <c r="AG86" s="15" t="str">
        <f t="shared" si="83"/>
        <v/>
      </c>
      <c r="AH86" s="15" t="str">
        <f t="shared" si="83"/>
        <v/>
      </c>
      <c r="AI86" s="15" t="str">
        <f t="shared" si="83"/>
        <v/>
      </c>
      <c r="AJ86" s="15" t="str">
        <f t="shared" si="83"/>
        <v/>
      </c>
      <c r="AK86" s="15" t="str">
        <f t="shared" si="83"/>
        <v/>
      </c>
      <c r="AL86" s="15" t="str">
        <f t="shared" si="83"/>
        <v/>
      </c>
      <c r="AM86" s="15" t="str">
        <f t="shared" si="83"/>
        <v/>
      </c>
      <c r="AN86" s="15" t="str">
        <f t="shared" si="83"/>
        <v/>
      </c>
      <c r="AO86" s="15" t="str">
        <f t="shared" si="83"/>
        <v/>
      </c>
      <c r="AP86" s="15" t="str">
        <f t="shared" si="83"/>
        <v/>
      </c>
      <c r="AQ86" s="15" t="str">
        <f t="shared" si="83"/>
        <v/>
      </c>
      <c r="AR86" s="15" t="str">
        <f t="shared" si="83"/>
        <v/>
      </c>
      <c r="AS86" s="15" t="str">
        <f t="shared" si="83"/>
        <v/>
      </c>
      <c r="AT86" s="15" t="str">
        <f t="shared" si="83"/>
        <v/>
      </c>
      <c r="AU86" s="15" t="str">
        <f t="shared" si="83"/>
        <v/>
      </c>
      <c r="AV86" s="15" t="str">
        <f t="shared" si="83"/>
        <v/>
      </c>
      <c r="AW86" s="15" t="str">
        <f t="shared" si="83"/>
        <v/>
      </c>
      <c r="AX86" s="15" t="str">
        <f t="shared" si="83"/>
        <v/>
      </c>
      <c r="AY86" s="15" t="str">
        <f t="shared" si="83"/>
        <v/>
      </c>
    </row>
    <row r="87" ht="18.0" customHeight="1">
      <c r="A87" s="13" t="str">
        <f t="shared" si="1"/>
        <v/>
      </c>
      <c r="B87" s="13" t="str">
        <f t="shared" si="2"/>
        <v/>
      </c>
      <c r="C87" s="12" t="str">
        <f t="shared" si="3"/>
        <v/>
      </c>
      <c r="D87" s="12" t="str">
        <f t="shared" si="4"/>
        <v/>
      </c>
      <c r="E87" s="12" t="str">
        <f t="shared" si="5"/>
        <v/>
      </c>
      <c r="F87" s="12" t="str">
        <f t="shared" si="6"/>
        <v/>
      </c>
      <c r="G87" s="12" t="str">
        <f t="shared" si="7"/>
        <v/>
      </c>
      <c r="H87" s="12" t="str">
        <f t="shared" si="8"/>
        <v/>
      </c>
      <c r="I87" s="12" t="str">
        <f t="shared" si="9"/>
        <v/>
      </c>
      <c r="J87" s="12" t="str">
        <f t="shared" si="10"/>
        <v/>
      </c>
      <c r="L87" s="15" t="str">
        <f t="shared" ref="L87:AY87" si="84">IF(L$13="","",IF(AND(L$13&gt;$H86,L$13&lt;=$I86),IF(AND(MOD($B$6,2)=1,L$13=ROUNDUP($J86,0)),"0",IF(L$13=INT($H86)+1,ROUNDDOWN(ABS(L$13-$J86),0),IF(L$13=INT($I86),ROUNDUP(ABS(L$13-$J86),0),""))),""))</f>
        <v/>
      </c>
      <c r="M87" s="15" t="str">
        <f t="shared" si="84"/>
        <v/>
      </c>
      <c r="N87" s="15" t="str">
        <f t="shared" si="84"/>
        <v/>
      </c>
      <c r="O87" s="15" t="str">
        <f t="shared" si="84"/>
        <v/>
      </c>
      <c r="P87" s="15" t="str">
        <f t="shared" si="84"/>
        <v/>
      </c>
      <c r="Q87" s="15" t="str">
        <f t="shared" si="84"/>
        <v/>
      </c>
      <c r="R87" s="15" t="str">
        <f t="shared" si="84"/>
        <v/>
      </c>
      <c r="S87" s="15" t="str">
        <f t="shared" si="84"/>
        <v/>
      </c>
      <c r="T87" s="15" t="str">
        <f t="shared" si="84"/>
        <v/>
      </c>
      <c r="U87" s="15" t="str">
        <f t="shared" si="84"/>
        <v/>
      </c>
      <c r="V87" s="15" t="str">
        <f t="shared" si="84"/>
        <v/>
      </c>
      <c r="W87" s="15" t="str">
        <f t="shared" si="84"/>
        <v/>
      </c>
      <c r="X87" s="15" t="str">
        <f t="shared" si="84"/>
        <v/>
      </c>
      <c r="Y87" s="15" t="str">
        <f t="shared" si="84"/>
        <v/>
      </c>
      <c r="Z87" s="15" t="str">
        <f t="shared" si="84"/>
        <v/>
      </c>
      <c r="AA87" s="15" t="str">
        <f t="shared" si="84"/>
        <v/>
      </c>
      <c r="AB87" s="15" t="str">
        <f t="shared" si="84"/>
        <v/>
      </c>
      <c r="AC87" s="15" t="str">
        <f t="shared" si="84"/>
        <v/>
      </c>
      <c r="AD87" s="15" t="str">
        <f t="shared" si="84"/>
        <v/>
      </c>
      <c r="AE87" s="15" t="str">
        <f t="shared" si="84"/>
        <v/>
      </c>
      <c r="AF87" s="15" t="str">
        <f t="shared" si="84"/>
        <v/>
      </c>
      <c r="AG87" s="15" t="str">
        <f t="shared" si="84"/>
        <v/>
      </c>
      <c r="AH87" s="15" t="str">
        <f t="shared" si="84"/>
        <v/>
      </c>
      <c r="AI87" s="15" t="str">
        <f t="shared" si="84"/>
        <v/>
      </c>
      <c r="AJ87" s="15" t="str">
        <f t="shared" si="84"/>
        <v/>
      </c>
      <c r="AK87" s="15" t="str">
        <f t="shared" si="84"/>
        <v/>
      </c>
      <c r="AL87" s="15" t="str">
        <f t="shared" si="84"/>
        <v/>
      </c>
      <c r="AM87" s="15" t="str">
        <f t="shared" si="84"/>
        <v/>
      </c>
      <c r="AN87" s="15" t="str">
        <f t="shared" si="84"/>
        <v/>
      </c>
      <c r="AO87" s="15" t="str">
        <f t="shared" si="84"/>
        <v/>
      </c>
      <c r="AP87" s="15" t="str">
        <f t="shared" si="84"/>
        <v/>
      </c>
      <c r="AQ87" s="15" t="str">
        <f t="shared" si="84"/>
        <v/>
      </c>
      <c r="AR87" s="15" t="str">
        <f t="shared" si="84"/>
        <v/>
      </c>
      <c r="AS87" s="15" t="str">
        <f t="shared" si="84"/>
        <v/>
      </c>
      <c r="AT87" s="15" t="str">
        <f t="shared" si="84"/>
        <v/>
      </c>
      <c r="AU87" s="15" t="str">
        <f t="shared" si="84"/>
        <v/>
      </c>
      <c r="AV87" s="15" t="str">
        <f t="shared" si="84"/>
        <v/>
      </c>
      <c r="AW87" s="15" t="str">
        <f t="shared" si="84"/>
        <v/>
      </c>
      <c r="AX87" s="15" t="str">
        <f t="shared" si="84"/>
        <v/>
      </c>
      <c r="AY87" s="15" t="str">
        <f t="shared" si="84"/>
        <v/>
      </c>
    </row>
    <row r="88" ht="18.0" customHeight="1">
      <c r="A88" s="13" t="str">
        <f t="shared" si="1"/>
        <v/>
      </c>
      <c r="B88" s="13" t="str">
        <f t="shared" si="2"/>
        <v/>
      </c>
      <c r="C88" s="12" t="str">
        <f t="shared" si="3"/>
        <v/>
      </c>
      <c r="D88" s="12" t="str">
        <f t="shared" si="4"/>
        <v/>
      </c>
      <c r="E88" s="12" t="str">
        <f t="shared" si="5"/>
        <v/>
      </c>
      <c r="F88" s="12" t="str">
        <f t="shared" si="6"/>
        <v/>
      </c>
      <c r="G88" s="12" t="str">
        <f t="shared" si="7"/>
        <v/>
      </c>
      <c r="H88" s="12" t="str">
        <f t="shared" si="8"/>
        <v/>
      </c>
      <c r="I88" s="12" t="str">
        <f t="shared" si="9"/>
        <v/>
      </c>
      <c r="J88" s="12" t="str">
        <f t="shared" si="10"/>
        <v/>
      </c>
      <c r="L88" s="15" t="str">
        <f t="shared" ref="L88:AY88" si="85">IF(L$13="","",IF(AND(L$13&gt;$H87,L$13&lt;=$I87),IF(AND(MOD($B$6,2)=1,L$13=ROUNDUP($J87,0)),"0",IF(L$13=INT($H87)+1,ROUNDDOWN(ABS(L$13-$J87),0),IF(L$13=INT($I87),ROUNDUP(ABS(L$13-$J87),0),""))),""))</f>
        <v/>
      </c>
      <c r="M88" s="15" t="str">
        <f t="shared" si="85"/>
        <v/>
      </c>
      <c r="N88" s="15" t="str">
        <f t="shared" si="85"/>
        <v/>
      </c>
      <c r="O88" s="15" t="str">
        <f t="shared" si="85"/>
        <v/>
      </c>
      <c r="P88" s="15" t="str">
        <f t="shared" si="85"/>
        <v/>
      </c>
      <c r="Q88" s="15" t="str">
        <f t="shared" si="85"/>
        <v/>
      </c>
      <c r="R88" s="15" t="str">
        <f t="shared" si="85"/>
        <v/>
      </c>
      <c r="S88" s="15" t="str">
        <f t="shared" si="85"/>
        <v/>
      </c>
      <c r="T88" s="15" t="str">
        <f t="shared" si="85"/>
        <v/>
      </c>
      <c r="U88" s="15" t="str">
        <f t="shared" si="85"/>
        <v/>
      </c>
      <c r="V88" s="15" t="str">
        <f t="shared" si="85"/>
        <v/>
      </c>
      <c r="W88" s="15" t="str">
        <f t="shared" si="85"/>
        <v/>
      </c>
      <c r="X88" s="15" t="str">
        <f t="shared" si="85"/>
        <v/>
      </c>
      <c r="Y88" s="15" t="str">
        <f t="shared" si="85"/>
        <v/>
      </c>
      <c r="Z88" s="15" t="str">
        <f t="shared" si="85"/>
        <v/>
      </c>
      <c r="AA88" s="15" t="str">
        <f t="shared" si="85"/>
        <v/>
      </c>
      <c r="AB88" s="15" t="str">
        <f t="shared" si="85"/>
        <v/>
      </c>
      <c r="AC88" s="15" t="str">
        <f t="shared" si="85"/>
        <v/>
      </c>
      <c r="AD88" s="15" t="str">
        <f t="shared" si="85"/>
        <v/>
      </c>
      <c r="AE88" s="15" t="str">
        <f t="shared" si="85"/>
        <v/>
      </c>
      <c r="AF88" s="15" t="str">
        <f t="shared" si="85"/>
        <v/>
      </c>
      <c r="AG88" s="15" t="str">
        <f t="shared" si="85"/>
        <v/>
      </c>
      <c r="AH88" s="15" t="str">
        <f t="shared" si="85"/>
        <v/>
      </c>
      <c r="AI88" s="15" t="str">
        <f t="shared" si="85"/>
        <v/>
      </c>
      <c r="AJ88" s="15" t="str">
        <f t="shared" si="85"/>
        <v/>
      </c>
      <c r="AK88" s="15" t="str">
        <f t="shared" si="85"/>
        <v/>
      </c>
      <c r="AL88" s="15" t="str">
        <f t="shared" si="85"/>
        <v/>
      </c>
      <c r="AM88" s="15" t="str">
        <f t="shared" si="85"/>
        <v/>
      </c>
      <c r="AN88" s="15" t="str">
        <f t="shared" si="85"/>
        <v/>
      </c>
      <c r="AO88" s="15" t="str">
        <f t="shared" si="85"/>
        <v/>
      </c>
      <c r="AP88" s="15" t="str">
        <f t="shared" si="85"/>
        <v/>
      </c>
      <c r="AQ88" s="15" t="str">
        <f t="shared" si="85"/>
        <v/>
      </c>
      <c r="AR88" s="15" t="str">
        <f t="shared" si="85"/>
        <v/>
      </c>
      <c r="AS88" s="15" t="str">
        <f t="shared" si="85"/>
        <v/>
      </c>
      <c r="AT88" s="15" t="str">
        <f t="shared" si="85"/>
        <v/>
      </c>
      <c r="AU88" s="15" t="str">
        <f t="shared" si="85"/>
        <v/>
      </c>
      <c r="AV88" s="15" t="str">
        <f t="shared" si="85"/>
        <v/>
      </c>
      <c r="AW88" s="15" t="str">
        <f t="shared" si="85"/>
        <v/>
      </c>
      <c r="AX88" s="15" t="str">
        <f t="shared" si="85"/>
        <v/>
      </c>
      <c r="AY88" s="15" t="str">
        <f t="shared" si="85"/>
        <v/>
      </c>
    </row>
    <row r="89" ht="18.0" customHeight="1">
      <c r="A89" s="13" t="str">
        <f t="shared" si="1"/>
        <v/>
      </c>
      <c r="B89" s="13" t="str">
        <f t="shared" si="2"/>
        <v/>
      </c>
      <c r="C89" s="12" t="str">
        <f t="shared" si="3"/>
        <v/>
      </c>
      <c r="D89" s="12" t="str">
        <f t="shared" si="4"/>
        <v/>
      </c>
      <c r="E89" s="12" t="str">
        <f t="shared" si="5"/>
        <v/>
      </c>
      <c r="F89" s="12" t="str">
        <f t="shared" si="6"/>
        <v/>
      </c>
      <c r="G89" s="12" t="str">
        <f t="shared" si="7"/>
        <v/>
      </c>
      <c r="H89" s="12" t="str">
        <f t="shared" si="8"/>
        <v/>
      </c>
      <c r="I89" s="12" t="str">
        <f t="shared" si="9"/>
        <v/>
      </c>
      <c r="J89" s="12" t="str">
        <f t="shared" si="10"/>
        <v/>
      </c>
      <c r="L89" s="15" t="str">
        <f t="shared" ref="L89:AY89" si="86">IF(L$13="","",IF(AND(L$13&gt;$H88,L$13&lt;=$I88),IF(AND(MOD($B$6,2)=1,L$13=ROUNDUP($J88,0)),"0",IF(L$13=INT($H88)+1,ROUNDDOWN(ABS(L$13-$J88),0),IF(L$13=INT($I88),ROUNDUP(ABS(L$13-$J88),0),""))),""))</f>
        <v/>
      </c>
      <c r="M89" s="15" t="str">
        <f t="shared" si="86"/>
        <v/>
      </c>
      <c r="N89" s="15" t="str">
        <f t="shared" si="86"/>
        <v/>
      </c>
      <c r="O89" s="15" t="str">
        <f t="shared" si="86"/>
        <v/>
      </c>
      <c r="P89" s="15" t="str">
        <f t="shared" si="86"/>
        <v/>
      </c>
      <c r="Q89" s="15" t="str">
        <f t="shared" si="86"/>
        <v/>
      </c>
      <c r="R89" s="15" t="str">
        <f t="shared" si="86"/>
        <v/>
      </c>
      <c r="S89" s="15" t="str">
        <f t="shared" si="86"/>
        <v/>
      </c>
      <c r="T89" s="15" t="str">
        <f t="shared" si="86"/>
        <v/>
      </c>
      <c r="U89" s="15" t="str">
        <f t="shared" si="86"/>
        <v/>
      </c>
      <c r="V89" s="15" t="str">
        <f t="shared" si="86"/>
        <v/>
      </c>
      <c r="W89" s="15" t="str">
        <f t="shared" si="86"/>
        <v/>
      </c>
      <c r="X89" s="15" t="str">
        <f t="shared" si="86"/>
        <v/>
      </c>
      <c r="Y89" s="15" t="str">
        <f t="shared" si="86"/>
        <v/>
      </c>
      <c r="Z89" s="15" t="str">
        <f t="shared" si="86"/>
        <v/>
      </c>
      <c r="AA89" s="15" t="str">
        <f t="shared" si="86"/>
        <v/>
      </c>
      <c r="AB89" s="15" t="str">
        <f t="shared" si="86"/>
        <v/>
      </c>
      <c r="AC89" s="15" t="str">
        <f t="shared" si="86"/>
        <v/>
      </c>
      <c r="AD89" s="15" t="str">
        <f t="shared" si="86"/>
        <v/>
      </c>
      <c r="AE89" s="15" t="str">
        <f t="shared" si="86"/>
        <v/>
      </c>
      <c r="AF89" s="15" t="str">
        <f t="shared" si="86"/>
        <v/>
      </c>
      <c r="AG89" s="15" t="str">
        <f t="shared" si="86"/>
        <v/>
      </c>
      <c r="AH89" s="15" t="str">
        <f t="shared" si="86"/>
        <v/>
      </c>
      <c r="AI89" s="15" t="str">
        <f t="shared" si="86"/>
        <v/>
      </c>
      <c r="AJ89" s="15" t="str">
        <f t="shared" si="86"/>
        <v/>
      </c>
      <c r="AK89" s="15" t="str">
        <f t="shared" si="86"/>
        <v/>
      </c>
      <c r="AL89" s="15" t="str">
        <f t="shared" si="86"/>
        <v/>
      </c>
      <c r="AM89" s="15" t="str">
        <f t="shared" si="86"/>
        <v/>
      </c>
      <c r="AN89" s="15" t="str">
        <f t="shared" si="86"/>
        <v/>
      </c>
      <c r="AO89" s="15" t="str">
        <f t="shared" si="86"/>
        <v/>
      </c>
      <c r="AP89" s="15" t="str">
        <f t="shared" si="86"/>
        <v/>
      </c>
      <c r="AQ89" s="15" t="str">
        <f t="shared" si="86"/>
        <v/>
      </c>
      <c r="AR89" s="15" t="str">
        <f t="shared" si="86"/>
        <v/>
      </c>
      <c r="AS89" s="15" t="str">
        <f t="shared" si="86"/>
        <v/>
      </c>
      <c r="AT89" s="15" t="str">
        <f t="shared" si="86"/>
        <v/>
      </c>
      <c r="AU89" s="15" t="str">
        <f t="shared" si="86"/>
        <v/>
      </c>
      <c r="AV89" s="15" t="str">
        <f t="shared" si="86"/>
        <v/>
      </c>
      <c r="AW89" s="15" t="str">
        <f t="shared" si="86"/>
        <v/>
      </c>
      <c r="AX89" s="15" t="str">
        <f t="shared" si="86"/>
        <v/>
      </c>
      <c r="AY89" s="15" t="str">
        <f t="shared" si="86"/>
        <v/>
      </c>
    </row>
    <row r="90" ht="18.0" customHeight="1">
      <c r="A90" s="13" t="str">
        <f t="shared" si="1"/>
        <v/>
      </c>
      <c r="B90" s="13" t="str">
        <f t="shared" si="2"/>
        <v/>
      </c>
      <c r="C90" s="12" t="str">
        <f t="shared" si="3"/>
        <v/>
      </c>
      <c r="D90" s="12" t="str">
        <f t="shared" si="4"/>
        <v/>
      </c>
      <c r="E90" s="12" t="str">
        <f t="shared" si="5"/>
        <v/>
      </c>
      <c r="F90" s="12" t="str">
        <f t="shared" si="6"/>
        <v/>
      </c>
      <c r="G90" s="12" t="str">
        <f t="shared" si="7"/>
        <v/>
      </c>
      <c r="H90" s="12" t="str">
        <f t="shared" si="8"/>
        <v/>
      </c>
      <c r="I90" s="12" t="str">
        <f t="shared" si="9"/>
        <v/>
      </c>
      <c r="J90" s="12" t="str">
        <f t="shared" si="10"/>
        <v/>
      </c>
      <c r="L90" s="15" t="str">
        <f t="shared" ref="L90:AY90" si="87">IF(L$13="","",IF(AND(L$13&gt;$H89,L$13&lt;=$I89),IF(AND(MOD($B$6,2)=1,L$13=ROUNDUP($J89,0)),"0",IF(L$13=INT($H89)+1,ROUNDDOWN(ABS(L$13-$J89),0),IF(L$13=INT($I89),ROUNDUP(ABS(L$13-$J89),0),""))),""))</f>
        <v/>
      </c>
      <c r="M90" s="15" t="str">
        <f t="shared" si="87"/>
        <v/>
      </c>
      <c r="N90" s="15" t="str">
        <f t="shared" si="87"/>
        <v/>
      </c>
      <c r="O90" s="15" t="str">
        <f t="shared" si="87"/>
        <v/>
      </c>
      <c r="P90" s="15" t="str">
        <f t="shared" si="87"/>
        <v/>
      </c>
      <c r="Q90" s="15" t="str">
        <f t="shared" si="87"/>
        <v/>
      </c>
      <c r="R90" s="15" t="str">
        <f t="shared" si="87"/>
        <v/>
      </c>
      <c r="S90" s="15" t="str">
        <f t="shared" si="87"/>
        <v/>
      </c>
      <c r="T90" s="15" t="str">
        <f t="shared" si="87"/>
        <v/>
      </c>
      <c r="U90" s="15" t="str">
        <f t="shared" si="87"/>
        <v/>
      </c>
      <c r="V90" s="15" t="str">
        <f t="shared" si="87"/>
        <v/>
      </c>
      <c r="W90" s="15" t="str">
        <f t="shared" si="87"/>
        <v/>
      </c>
      <c r="X90" s="15" t="str">
        <f t="shared" si="87"/>
        <v/>
      </c>
      <c r="Y90" s="15" t="str">
        <f t="shared" si="87"/>
        <v/>
      </c>
      <c r="Z90" s="15" t="str">
        <f t="shared" si="87"/>
        <v/>
      </c>
      <c r="AA90" s="15" t="str">
        <f t="shared" si="87"/>
        <v/>
      </c>
      <c r="AB90" s="15" t="str">
        <f t="shared" si="87"/>
        <v/>
      </c>
      <c r="AC90" s="15" t="str">
        <f t="shared" si="87"/>
        <v/>
      </c>
      <c r="AD90" s="15" t="str">
        <f t="shared" si="87"/>
        <v/>
      </c>
      <c r="AE90" s="15" t="str">
        <f t="shared" si="87"/>
        <v/>
      </c>
      <c r="AF90" s="15" t="str">
        <f t="shared" si="87"/>
        <v/>
      </c>
      <c r="AG90" s="15" t="str">
        <f t="shared" si="87"/>
        <v/>
      </c>
      <c r="AH90" s="15" t="str">
        <f t="shared" si="87"/>
        <v/>
      </c>
      <c r="AI90" s="15" t="str">
        <f t="shared" si="87"/>
        <v/>
      </c>
      <c r="AJ90" s="15" t="str">
        <f t="shared" si="87"/>
        <v/>
      </c>
      <c r="AK90" s="15" t="str">
        <f t="shared" si="87"/>
        <v/>
      </c>
      <c r="AL90" s="15" t="str">
        <f t="shared" si="87"/>
        <v/>
      </c>
      <c r="AM90" s="15" t="str">
        <f t="shared" si="87"/>
        <v/>
      </c>
      <c r="AN90" s="15" t="str">
        <f t="shared" si="87"/>
        <v/>
      </c>
      <c r="AO90" s="15" t="str">
        <f t="shared" si="87"/>
        <v/>
      </c>
      <c r="AP90" s="15" t="str">
        <f t="shared" si="87"/>
        <v/>
      </c>
      <c r="AQ90" s="15" t="str">
        <f t="shared" si="87"/>
        <v/>
      </c>
      <c r="AR90" s="15" t="str">
        <f t="shared" si="87"/>
        <v/>
      </c>
      <c r="AS90" s="15" t="str">
        <f t="shared" si="87"/>
        <v/>
      </c>
      <c r="AT90" s="15" t="str">
        <f t="shared" si="87"/>
        <v/>
      </c>
      <c r="AU90" s="15" t="str">
        <f t="shared" si="87"/>
        <v/>
      </c>
      <c r="AV90" s="15" t="str">
        <f t="shared" si="87"/>
        <v/>
      </c>
      <c r="AW90" s="15" t="str">
        <f t="shared" si="87"/>
        <v/>
      </c>
      <c r="AX90" s="15" t="str">
        <f t="shared" si="87"/>
        <v/>
      </c>
      <c r="AY90" s="15" t="str">
        <f t="shared" si="87"/>
        <v/>
      </c>
    </row>
    <row r="91" ht="18.0" customHeight="1">
      <c r="A91" s="13" t="str">
        <f t="shared" si="1"/>
        <v/>
      </c>
      <c r="B91" s="13" t="str">
        <f t="shared" si="2"/>
        <v/>
      </c>
      <c r="C91" s="12" t="str">
        <f t="shared" si="3"/>
        <v/>
      </c>
      <c r="D91" s="12" t="str">
        <f t="shared" si="4"/>
        <v/>
      </c>
      <c r="E91" s="12" t="str">
        <f t="shared" si="5"/>
        <v/>
      </c>
      <c r="F91" s="12" t="str">
        <f t="shared" si="6"/>
        <v/>
      </c>
      <c r="G91" s="12" t="str">
        <f t="shared" si="7"/>
        <v/>
      </c>
      <c r="H91" s="12" t="str">
        <f t="shared" si="8"/>
        <v/>
      </c>
      <c r="I91" s="12" t="str">
        <f t="shared" si="9"/>
        <v/>
      </c>
      <c r="J91" s="12" t="str">
        <f t="shared" si="10"/>
        <v/>
      </c>
      <c r="L91" s="15" t="str">
        <f t="shared" ref="L91:AY91" si="88">IF(L$13="","",IF(AND(L$13&gt;$H90,L$13&lt;=$I90),IF(AND(MOD($B$6,2)=1,L$13=ROUNDUP($J90,0)),"0",IF(L$13=INT($H90)+1,ROUNDDOWN(ABS(L$13-$J90),0),IF(L$13=INT($I90),ROUNDUP(ABS(L$13-$J90),0),""))),""))</f>
        <v/>
      </c>
      <c r="M91" s="15" t="str">
        <f t="shared" si="88"/>
        <v/>
      </c>
      <c r="N91" s="15" t="str">
        <f t="shared" si="88"/>
        <v/>
      </c>
      <c r="O91" s="15" t="str">
        <f t="shared" si="88"/>
        <v/>
      </c>
      <c r="P91" s="15" t="str">
        <f t="shared" si="88"/>
        <v/>
      </c>
      <c r="Q91" s="15" t="str">
        <f t="shared" si="88"/>
        <v/>
      </c>
      <c r="R91" s="15" t="str">
        <f t="shared" si="88"/>
        <v/>
      </c>
      <c r="S91" s="15" t="str">
        <f t="shared" si="88"/>
        <v/>
      </c>
      <c r="T91" s="15" t="str">
        <f t="shared" si="88"/>
        <v/>
      </c>
      <c r="U91" s="15" t="str">
        <f t="shared" si="88"/>
        <v/>
      </c>
      <c r="V91" s="15" t="str">
        <f t="shared" si="88"/>
        <v/>
      </c>
      <c r="W91" s="15" t="str">
        <f t="shared" si="88"/>
        <v/>
      </c>
      <c r="X91" s="15" t="str">
        <f t="shared" si="88"/>
        <v/>
      </c>
      <c r="Y91" s="15" t="str">
        <f t="shared" si="88"/>
        <v/>
      </c>
      <c r="Z91" s="15" t="str">
        <f t="shared" si="88"/>
        <v/>
      </c>
      <c r="AA91" s="15" t="str">
        <f t="shared" si="88"/>
        <v/>
      </c>
      <c r="AB91" s="15" t="str">
        <f t="shared" si="88"/>
        <v/>
      </c>
      <c r="AC91" s="15" t="str">
        <f t="shared" si="88"/>
        <v/>
      </c>
      <c r="AD91" s="15" t="str">
        <f t="shared" si="88"/>
        <v/>
      </c>
      <c r="AE91" s="15" t="str">
        <f t="shared" si="88"/>
        <v/>
      </c>
      <c r="AF91" s="15" t="str">
        <f t="shared" si="88"/>
        <v/>
      </c>
      <c r="AG91" s="15" t="str">
        <f t="shared" si="88"/>
        <v/>
      </c>
      <c r="AH91" s="15" t="str">
        <f t="shared" si="88"/>
        <v/>
      </c>
      <c r="AI91" s="15" t="str">
        <f t="shared" si="88"/>
        <v/>
      </c>
      <c r="AJ91" s="15" t="str">
        <f t="shared" si="88"/>
        <v/>
      </c>
      <c r="AK91" s="15" t="str">
        <f t="shared" si="88"/>
        <v/>
      </c>
      <c r="AL91" s="15" t="str">
        <f t="shared" si="88"/>
        <v/>
      </c>
      <c r="AM91" s="15" t="str">
        <f t="shared" si="88"/>
        <v/>
      </c>
      <c r="AN91" s="15" t="str">
        <f t="shared" si="88"/>
        <v/>
      </c>
      <c r="AO91" s="15" t="str">
        <f t="shared" si="88"/>
        <v/>
      </c>
      <c r="AP91" s="15" t="str">
        <f t="shared" si="88"/>
        <v/>
      </c>
      <c r="AQ91" s="15" t="str">
        <f t="shared" si="88"/>
        <v/>
      </c>
      <c r="AR91" s="15" t="str">
        <f t="shared" si="88"/>
        <v/>
      </c>
      <c r="AS91" s="15" t="str">
        <f t="shared" si="88"/>
        <v/>
      </c>
      <c r="AT91" s="15" t="str">
        <f t="shared" si="88"/>
        <v/>
      </c>
      <c r="AU91" s="15" t="str">
        <f t="shared" si="88"/>
        <v/>
      </c>
      <c r="AV91" s="15" t="str">
        <f t="shared" si="88"/>
        <v/>
      </c>
      <c r="AW91" s="15" t="str">
        <f t="shared" si="88"/>
        <v/>
      </c>
      <c r="AX91" s="15" t="str">
        <f t="shared" si="88"/>
        <v/>
      </c>
      <c r="AY91" s="15" t="str">
        <f t="shared" si="88"/>
        <v/>
      </c>
    </row>
    <row r="92" ht="18.0" customHeight="1">
      <c r="A92" s="13" t="str">
        <f t="shared" si="1"/>
        <v/>
      </c>
      <c r="B92" s="13" t="str">
        <f t="shared" si="2"/>
        <v/>
      </c>
      <c r="C92" s="12" t="str">
        <f t="shared" si="3"/>
        <v/>
      </c>
      <c r="D92" s="12" t="str">
        <f t="shared" si="4"/>
        <v/>
      </c>
      <c r="E92" s="12" t="str">
        <f t="shared" si="5"/>
        <v/>
      </c>
      <c r="F92" s="12" t="str">
        <f t="shared" si="6"/>
        <v/>
      </c>
      <c r="G92" s="12" t="str">
        <f t="shared" si="7"/>
        <v/>
      </c>
      <c r="H92" s="12" t="str">
        <f t="shared" si="8"/>
        <v/>
      </c>
      <c r="I92" s="12" t="str">
        <f t="shared" si="9"/>
        <v/>
      </c>
      <c r="J92" s="12" t="str">
        <f t="shared" si="10"/>
        <v/>
      </c>
      <c r="L92" s="15" t="str">
        <f t="shared" ref="L92:AY92" si="89">IF(L$13="","",IF(AND(L$13&gt;$H91,L$13&lt;=$I91),IF(AND(MOD($B$6,2)=1,L$13=ROUNDUP($J91,0)),"0",IF(L$13=INT($H91)+1,ROUNDDOWN(ABS(L$13-$J91),0),IF(L$13=INT($I91),ROUNDUP(ABS(L$13-$J91),0),""))),""))</f>
        <v/>
      </c>
      <c r="M92" s="15" t="str">
        <f t="shared" si="89"/>
        <v/>
      </c>
      <c r="N92" s="15" t="str">
        <f t="shared" si="89"/>
        <v/>
      </c>
      <c r="O92" s="15" t="str">
        <f t="shared" si="89"/>
        <v/>
      </c>
      <c r="P92" s="15" t="str">
        <f t="shared" si="89"/>
        <v/>
      </c>
      <c r="Q92" s="15" t="str">
        <f t="shared" si="89"/>
        <v/>
      </c>
      <c r="R92" s="15" t="str">
        <f t="shared" si="89"/>
        <v/>
      </c>
      <c r="S92" s="15" t="str">
        <f t="shared" si="89"/>
        <v/>
      </c>
      <c r="T92" s="15" t="str">
        <f t="shared" si="89"/>
        <v/>
      </c>
      <c r="U92" s="15" t="str">
        <f t="shared" si="89"/>
        <v/>
      </c>
      <c r="V92" s="15" t="str">
        <f t="shared" si="89"/>
        <v/>
      </c>
      <c r="W92" s="15" t="str">
        <f t="shared" si="89"/>
        <v/>
      </c>
      <c r="X92" s="15" t="str">
        <f t="shared" si="89"/>
        <v/>
      </c>
      <c r="Y92" s="15" t="str">
        <f t="shared" si="89"/>
        <v/>
      </c>
      <c r="Z92" s="15" t="str">
        <f t="shared" si="89"/>
        <v/>
      </c>
      <c r="AA92" s="15" t="str">
        <f t="shared" si="89"/>
        <v/>
      </c>
      <c r="AB92" s="15" t="str">
        <f t="shared" si="89"/>
        <v/>
      </c>
      <c r="AC92" s="15" t="str">
        <f t="shared" si="89"/>
        <v/>
      </c>
      <c r="AD92" s="15" t="str">
        <f t="shared" si="89"/>
        <v/>
      </c>
      <c r="AE92" s="15" t="str">
        <f t="shared" si="89"/>
        <v/>
      </c>
      <c r="AF92" s="15" t="str">
        <f t="shared" si="89"/>
        <v/>
      </c>
      <c r="AG92" s="15" t="str">
        <f t="shared" si="89"/>
        <v/>
      </c>
      <c r="AH92" s="15" t="str">
        <f t="shared" si="89"/>
        <v/>
      </c>
      <c r="AI92" s="15" t="str">
        <f t="shared" si="89"/>
        <v/>
      </c>
      <c r="AJ92" s="15" t="str">
        <f t="shared" si="89"/>
        <v/>
      </c>
      <c r="AK92" s="15" t="str">
        <f t="shared" si="89"/>
        <v/>
      </c>
      <c r="AL92" s="15" t="str">
        <f t="shared" si="89"/>
        <v/>
      </c>
      <c r="AM92" s="15" t="str">
        <f t="shared" si="89"/>
        <v/>
      </c>
      <c r="AN92" s="15" t="str">
        <f t="shared" si="89"/>
        <v/>
      </c>
      <c r="AO92" s="15" t="str">
        <f t="shared" si="89"/>
        <v/>
      </c>
      <c r="AP92" s="15" t="str">
        <f t="shared" si="89"/>
        <v/>
      </c>
      <c r="AQ92" s="15" t="str">
        <f t="shared" si="89"/>
        <v/>
      </c>
      <c r="AR92" s="15" t="str">
        <f t="shared" si="89"/>
        <v/>
      </c>
      <c r="AS92" s="15" t="str">
        <f t="shared" si="89"/>
        <v/>
      </c>
      <c r="AT92" s="15" t="str">
        <f t="shared" si="89"/>
        <v/>
      </c>
      <c r="AU92" s="15" t="str">
        <f t="shared" si="89"/>
        <v/>
      </c>
      <c r="AV92" s="15" t="str">
        <f t="shared" si="89"/>
        <v/>
      </c>
      <c r="AW92" s="15" t="str">
        <f t="shared" si="89"/>
        <v/>
      </c>
      <c r="AX92" s="15" t="str">
        <f t="shared" si="89"/>
        <v/>
      </c>
      <c r="AY92" s="15" t="str">
        <f t="shared" si="89"/>
        <v/>
      </c>
    </row>
    <row r="93" ht="18.0" customHeight="1">
      <c r="A93" s="13" t="str">
        <f t="shared" si="1"/>
        <v/>
      </c>
      <c r="B93" s="13" t="str">
        <f t="shared" si="2"/>
        <v/>
      </c>
      <c r="C93" s="12" t="str">
        <f t="shared" si="3"/>
        <v/>
      </c>
      <c r="D93" s="12" t="str">
        <f t="shared" si="4"/>
        <v/>
      </c>
      <c r="E93" s="12" t="str">
        <f t="shared" si="5"/>
        <v/>
      </c>
      <c r="F93" s="12" t="str">
        <f t="shared" si="6"/>
        <v/>
      </c>
      <c r="G93" s="12" t="str">
        <f t="shared" si="7"/>
        <v/>
      </c>
      <c r="H93" s="12" t="str">
        <f t="shared" si="8"/>
        <v/>
      </c>
      <c r="I93" s="12" t="str">
        <f t="shared" si="9"/>
        <v/>
      </c>
      <c r="J93" s="12" t="str">
        <f t="shared" si="10"/>
        <v/>
      </c>
      <c r="L93" s="15" t="str">
        <f t="shared" ref="L93:AY93" si="90">IF(L$13="","",IF(AND(L$13&gt;$H92,L$13&lt;=$I92),IF(AND(MOD($B$6,2)=1,L$13=ROUNDUP($J92,0)),"0",IF(L$13=INT($H92)+1,ROUNDDOWN(ABS(L$13-$J92),0),IF(L$13=INT($I92),ROUNDUP(ABS(L$13-$J92),0),""))),""))</f>
        <v/>
      </c>
      <c r="M93" s="15" t="str">
        <f t="shared" si="90"/>
        <v/>
      </c>
      <c r="N93" s="15" t="str">
        <f t="shared" si="90"/>
        <v/>
      </c>
      <c r="O93" s="15" t="str">
        <f t="shared" si="90"/>
        <v/>
      </c>
      <c r="P93" s="15" t="str">
        <f t="shared" si="90"/>
        <v/>
      </c>
      <c r="Q93" s="15" t="str">
        <f t="shared" si="90"/>
        <v/>
      </c>
      <c r="R93" s="15" t="str">
        <f t="shared" si="90"/>
        <v/>
      </c>
      <c r="S93" s="15" t="str">
        <f t="shared" si="90"/>
        <v/>
      </c>
      <c r="T93" s="15" t="str">
        <f t="shared" si="90"/>
        <v/>
      </c>
      <c r="U93" s="15" t="str">
        <f t="shared" si="90"/>
        <v/>
      </c>
      <c r="V93" s="15" t="str">
        <f t="shared" si="90"/>
        <v/>
      </c>
      <c r="W93" s="15" t="str">
        <f t="shared" si="90"/>
        <v/>
      </c>
      <c r="X93" s="15" t="str">
        <f t="shared" si="90"/>
        <v/>
      </c>
      <c r="Y93" s="15" t="str">
        <f t="shared" si="90"/>
        <v/>
      </c>
      <c r="Z93" s="15" t="str">
        <f t="shared" si="90"/>
        <v/>
      </c>
      <c r="AA93" s="15" t="str">
        <f t="shared" si="90"/>
        <v/>
      </c>
      <c r="AB93" s="15" t="str">
        <f t="shared" si="90"/>
        <v/>
      </c>
      <c r="AC93" s="15" t="str">
        <f t="shared" si="90"/>
        <v/>
      </c>
      <c r="AD93" s="15" t="str">
        <f t="shared" si="90"/>
        <v/>
      </c>
      <c r="AE93" s="15" t="str">
        <f t="shared" si="90"/>
        <v/>
      </c>
      <c r="AF93" s="15" t="str">
        <f t="shared" si="90"/>
        <v/>
      </c>
      <c r="AG93" s="15" t="str">
        <f t="shared" si="90"/>
        <v/>
      </c>
      <c r="AH93" s="15" t="str">
        <f t="shared" si="90"/>
        <v/>
      </c>
      <c r="AI93" s="15" t="str">
        <f t="shared" si="90"/>
        <v/>
      </c>
      <c r="AJ93" s="15" t="str">
        <f t="shared" si="90"/>
        <v/>
      </c>
      <c r="AK93" s="15" t="str">
        <f t="shared" si="90"/>
        <v/>
      </c>
      <c r="AL93" s="15" t="str">
        <f t="shared" si="90"/>
        <v/>
      </c>
      <c r="AM93" s="15" t="str">
        <f t="shared" si="90"/>
        <v/>
      </c>
      <c r="AN93" s="15" t="str">
        <f t="shared" si="90"/>
        <v/>
      </c>
      <c r="AO93" s="15" t="str">
        <f t="shared" si="90"/>
        <v/>
      </c>
      <c r="AP93" s="15" t="str">
        <f t="shared" si="90"/>
        <v/>
      </c>
      <c r="AQ93" s="15" t="str">
        <f t="shared" si="90"/>
        <v/>
      </c>
      <c r="AR93" s="15" t="str">
        <f t="shared" si="90"/>
        <v/>
      </c>
      <c r="AS93" s="15" t="str">
        <f t="shared" si="90"/>
        <v/>
      </c>
      <c r="AT93" s="15" t="str">
        <f t="shared" si="90"/>
        <v/>
      </c>
      <c r="AU93" s="15" t="str">
        <f t="shared" si="90"/>
        <v/>
      </c>
      <c r="AV93" s="15" t="str">
        <f t="shared" si="90"/>
        <v/>
      </c>
      <c r="AW93" s="15" t="str">
        <f t="shared" si="90"/>
        <v/>
      </c>
      <c r="AX93" s="15" t="str">
        <f t="shared" si="90"/>
        <v/>
      </c>
      <c r="AY93" s="15" t="str">
        <f t="shared" si="90"/>
        <v/>
      </c>
    </row>
    <row r="94" ht="18.0" customHeight="1">
      <c r="A94" s="13" t="str">
        <f t="shared" si="1"/>
        <v/>
      </c>
      <c r="B94" s="13" t="str">
        <f t="shared" si="2"/>
        <v/>
      </c>
      <c r="C94" s="12" t="str">
        <f t="shared" si="3"/>
        <v/>
      </c>
      <c r="D94" s="12" t="str">
        <f t="shared" si="4"/>
        <v/>
      </c>
      <c r="E94" s="12" t="str">
        <f t="shared" si="5"/>
        <v/>
      </c>
      <c r="F94" s="12" t="str">
        <f t="shared" si="6"/>
        <v/>
      </c>
      <c r="G94" s="12" t="str">
        <f t="shared" si="7"/>
        <v/>
      </c>
      <c r="H94" s="12" t="str">
        <f t="shared" si="8"/>
        <v/>
      </c>
      <c r="I94" s="12" t="str">
        <f t="shared" si="9"/>
        <v/>
      </c>
      <c r="J94" s="12" t="str">
        <f t="shared" si="10"/>
        <v/>
      </c>
      <c r="L94" s="15" t="str">
        <f t="shared" ref="L94:AY94" si="91">IF(L$13="","",IF(AND(L$13&gt;$H93,L$13&lt;=$I93),IF(AND(MOD($B$6,2)=1,L$13=ROUNDUP($J93,0)),"0",IF(L$13=INT($H93)+1,ROUNDDOWN(ABS(L$13-$J93),0),IF(L$13=INT($I93),ROUNDUP(ABS(L$13-$J93),0),""))),""))</f>
        <v/>
      </c>
      <c r="M94" s="15" t="str">
        <f t="shared" si="91"/>
        <v/>
      </c>
      <c r="N94" s="15" t="str">
        <f t="shared" si="91"/>
        <v/>
      </c>
      <c r="O94" s="15" t="str">
        <f t="shared" si="91"/>
        <v/>
      </c>
      <c r="P94" s="15" t="str">
        <f t="shared" si="91"/>
        <v/>
      </c>
      <c r="Q94" s="15" t="str">
        <f t="shared" si="91"/>
        <v/>
      </c>
      <c r="R94" s="15" t="str">
        <f t="shared" si="91"/>
        <v/>
      </c>
      <c r="S94" s="15" t="str">
        <f t="shared" si="91"/>
        <v/>
      </c>
      <c r="T94" s="15" t="str">
        <f t="shared" si="91"/>
        <v/>
      </c>
      <c r="U94" s="15" t="str">
        <f t="shared" si="91"/>
        <v/>
      </c>
      <c r="V94" s="15" t="str">
        <f t="shared" si="91"/>
        <v/>
      </c>
      <c r="W94" s="15" t="str">
        <f t="shared" si="91"/>
        <v/>
      </c>
      <c r="X94" s="15" t="str">
        <f t="shared" si="91"/>
        <v/>
      </c>
      <c r="Y94" s="15" t="str">
        <f t="shared" si="91"/>
        <v/>
      </c>
      <c r="Z94" s="15" t="str">
        <f t="shared" si="91"/>
        <v/>
      </c>
      <c r="AA94" s="15" t="str">
        <f t="shared" si="91"/>
        <v/>
      </c>
      <c r="AB94" s="15" t="str">
        <f t="shared" si="91"/>
        <v/>
      </c>
      <c r="AC94" s="15" t="str">
        <f t="shared" si="91"/>
        <v/>
      </c>
      <c r="AD94" s="15" t="str">
        <f t="shared" si="91"/>
        <v/>
      </c>
      <c r="AE94" s="15" t="str">
        <f t="shared" si="91"/>
        <v/>
      </c>
      <c r="AF94" s="15" t="str">
        <f t="shared" si="91"/>
        <v/>
      </c>
      <c r="AG94" s="15" t="str">
        <f t="shared" si="91"/>
        <v/>
      </c>
      <c r="AH94" s="15" t="str">
        <f t="shared" si="91"/>
        <v/>
      </c>
      <c r="AI94" s="15" t="str">
        <f t="shared" si="91"/>
        <v/>
      </c>
      <c r="AJ94" s="15" t="str">
        <f t="shared" si="91"/>
        <v/>
      </c>
      <c r="AK94" s="15" t="str">
        <f t="shared" si="91"/>
        <v/>
      </c>
      <c r="AL94" s="15" t="str">
        <f t="shared" si="91"/>
        <v/>
      </c>
      <c r="AM94" s="15" t="str">
        <f t="shared" si="91"/>
        <v/>
      </c>
      <c r="AN94" s="15" t="str">
        <f t="shared" si="91"/>
        <v/>
      </c>
      <c r="AO94" s="15" t="str">
        <f t="shared" si="91"/>
        <v/>
      </c>
      <c r="AP94" s="15" t="str">
        <f t="shared" si="91"/>
        <v/>
      </c>
      <c r="AQ94" s="15" t="str">
        <f t="shared" si="91"/>
        <v/>
      </c>
      <c r="AR94" s="15" t="str">
        <f t="shared" si="91"/>
        <v/>
      </c>
      <c r="AS94" s="15" t="str">
        <f t="shared" si="91"/>
        <v/>
      </c>
      <c r="AT94" s="15" t="str">
        <f t="shared" si="91"/>
        <v/>
      </c>
      <c r="AU94" s="15" t="str">
        <f t="shared" si="91"/>
        <v/>
      </c>
      <c r="AV94" s="15" t="str">
        <f t="shared" si="91"/>
        <v/>
      </c>
      <c r="AW94" s="15" t="str">
        <f t="shared" si="91"/>
        <v/>
      </c>
      <c r="AX94" s="15" t="str">
        <f t="shared" si="91"/>
        <v/>
      </c>
      <c r="AY94" s="15" t="str">
        <f t="shared" si="91"/>
        <v/>
      </c>
    </row>
    <row r="95" ht="18.0" customHeight="1">
      <c r="A95" s="13" t="str">
        <f t="shared" si="1"/>
        <v/>
      </c>
      <c r="B95" s="13" t="str">
        <f t="shared" si="2"/>
        <v/>
      </c>
      <c r="C95" s="12" t="str">
        <f t="shared" si="3"/>
        <v/>
      </c>
      <c r="D95" s="12" t="str">
        <f t="shared" si="4"/>
        <v/>
      </c>
      <c r="E95" s="12" t="str">
        <f t="shared" si="5"/>
        <v/>
      </c>
      <c r="F95" s="12" t="str">
        <f t="shared" si="6"/>
        <v/>
      </c>
      <c r="G95" s="12" t="str">
        <f t="shared" si="7"/>
        <v/>
      </c>
      <c r="H95" s="12" t="str">
        <f t="shared" si="8"/>
        <v/>
      </c>
      <c r="I95" s="12" t="str">
        <f t="shared" si="9"/>
        <v/>
      </c>
      <c r="J95" s="12" t="str">
        <f t="shared" si="10"/>
        <v/>
      </c>
      <c r="L95" s="15" t="str">
        <f t="shared" ref="L95:AY95" si="92">IF(L$13="","",IF(AND(L$13&gt;$H94,L$13&lt;=$I94),IF(AND(MOD($B$6,2)=1,L$13=ROUNDUP($J94,0)),"0",IF(L$13=INT($H94)+1,ROUNDDOWN(ABS(L$13-$J94),0),IF(L$13=INT($I94),ROUNDUP(ABS(L$13-$J94),0),""))),""))</f>
        <v/>
      </c>
      <c r="M95" s="15" t="str">
        <f t="shared" si="92"/>
        <v/>
      </c>
      <c r="N95" s="15" t="str">
        <f t="shared" si="92"/>
        <v/>
      </c>
      <c r="O95" s="15" t="str">
        <f t="shared" si="92"/>
        <v/>
      </c>
      <c r="P95" s="15" t="str">
        <f t="shared" si="92"/>
        <v/>
      </c>
      <c r="Q95" s="15" t="str">
        <f t="shared" si="92"/>
        <v/>
      </c>
      <c r="R95" s="15" t="str">
        <f t="shared" si="92"/>
        <v/>
      </c>
      <c r="S95" s="15" t="str">
        <f t="shared" si="92"/>
        <v/>
      </c>
      <c r="T95" s="15" t="str">
        <f t="shared" si="92"/>
        <v/>
      </c>
      <c r="U95" s="15" t="str">
        <f t="shared" si="92"/>
        <v/>
      </c>
      <c r="V95" s="15" t="str">
        <f t="shared" si="92"/>
        <v/>
      </c>
      <c r="W95" s="15" t="str">
        <f t="shared" si="92"/>
        <v/>
      </c>
      <c r="X95" s="15" t="str">
        <f t="shared" si="92"/>
        <v/>
      </c>
      <c r="Y95" s="15" t="str">
        <f t="shared" si="92"/>
        <v/>
      </c>
      <c r="Z95" s="15" t="str">
        <f t="shared" si="92"/>
        <v/>
      </c>
      <c r="AA95" s="15" t="str">
        <f t="shared" si="92"/>
        <v/>
      </c>
      <c r="AB95" s="15" t="str">
        <f t="shared" si="92"/>
        <v/>
      </c>
      <c r="AC95" s="15" t="str">
        <f t="shared" si="92"/>
        <v/>
      </c>
      <c r="AD95" s="15" t="str">
        <f t="shared" si="92"/>
        <v/>
      </c>
      <c r="AE95" s="15" t="str">
        <f t="shared" si="92"/>
        <v/>
      </c>
      <c r="AF95" s="15" t="str">
        <f t="shared" si="92"/>
        <v/>
      </c>
      <c r="AG95" s="15" t="str">
        <f t="shared" si="92"/>
        <v/>
      </c>
      <c r="AH95" s="15" t="str">
        <f t="shared" si="92"/>
        <v/>
      </c>
      <c r="AI95" s="15" t="str">
        <f t="shared" si="92"/>
        <v/>
      </c>
      <c r="AJ95" s="15" t="str">
        <f t="shared" si="92"/>
        <v/>
      </c>
      <c r="AK95" s="15" t="str">
        <f t="shared" si="92"/>
        <v/>
      </c>
      <c r="AL95" s="15" t="str">
        <f t="shared" si="92"/>
        <v/>
      </c>
      <c r="AM95" s="15" t="str">
        <f t="shared" si="92"/>
        <v/>
      </c>
      <c r="AN95" s="15" t="str">
        <f t="shared" si="92"/>
        <v/>
      </c>
      <c r="AO95" s="15" t="str">
        <f t="shared" si="92"/>
        <v/>
      </c>
      <c r="AP95" s="15" t="str">
        <f t="shared" si="92"/>
        <v/>
      </c>
      <c r="AQ95" s="15" t="str">
        <f t="shared" si="92"/>
        <v/>
      </c>
      <c r="AR95" s="15" t="str">
        <f t="shared" si="92"/>
        <v/>
      </c>
      <c r="AS95" s="15" t="str">
        <f t="shared" si="92"/>
        <v/>
      </c>
      <c r="AT95" s="15" t="str">
        <f t="shared" si="92"/>
        <v/>
      </c>
      <c r="AU95" s="15" t="str">
        <f t="shared" si="92"/>
        <v/>
      </c>
      <c r="AV95" s="15" t="str">
        <f t="shared" si="92"/>
        <v/>
      </c>
      <c r="AW95" s="15" t="str">
        <f t="shared" si="92"/>
        <v/>
      </c>
      <c r="AX95" s="15" t="str">
        <f t="shared" si="92"/>
        <v/>
      </c>
      <c r="AY95" s="15" t="str">
        <f t="shared" si="92"/>
        <v/>
      </c>
    </row>
    <row r="96" ht="18.0" customHeight="1">
      <c r="A96" s="13" t="str">
        <f t="shared" si="1"/>
        <v/>
      </c>
      <c r="B96" s="13" t="str">
        <f t="shared" si="2"/>
        <v/>
      </c>
      <c r="C96" s="12" t="str">
        <f t="shared" si="3"/>
        <v/>
      </c>
      <c r="D96" s="12" t="str">
        <f t="shared" si="4"/>
        <v/>
      </c>
      <c r="E96" s="12" t="str">
        <f t="shared" si="5"/>
        <v/>
      </c>
      <c r="F96" s="12" t="str">
        <f t="shared" si="6"/>
        <v/>
      </c>
      <c r="G96" s="12" t="str">
        <f t="shared" si="7"/>
        <v/>
      </c>
      <c r="H96" s="12" t="str">
        <f t="shared" si="8"/>
        <v/>
      </c>
      <c r="I96" s="12" t="str">
        <f t="shared" si="9"/>
        <v/>
      </c>
      <c r="J96" s="12" t="str">
        <f t="shared" si="10"/>
        <v/>
      </c>
      <c r="L96" s="15" t="str">
        <f t="shared" ref="L96:AY96" si="93">IF(L$13="","",IF(AND(L$13&gt;$H95,L$13&lt;=$I95),IF(AND(MOD($B$6,2)=1,L$13=ROUNDUP($J95,0)),"0",IF(L$13=INT($H95)+1,ROUNDDOWN(ABS(L$13-$J95),0),IF(L$13=INT($I95),ROUNDUP(ABS(L$13-$J95),0),""))),""))</f>
        <v/>
      </c>
      <c r="M96" s="15" t="str">
        <f t="shared" si="93"/>
        <v/>
      </c>
      <c r="N96" s="15" t="str">
        <f t="shared" si="93"/>
        <v/>
      </c>
      <c r="O96" s="15" t="str">
        <f t="shared" si="93"/>
        <v/>
      </c>
      <c r="P96" s="15" t="str">
        <f t="shared" si="93"/>
        <v/>
      </c>
      <c r="Q96" s="15" t="str">
        <f t="shared" si="93"/>
        <v/>
      </c>
      <c r="R96" s="15" t="str">
        <f t="shared" si="93"/>
        <v/>
      </c>
      <c r="S96" s="15" t="str">
        <f t="shared" si="93"/>
        <v/>
      </c>
      <c r="T96" s="15" t="str">
        <f t="shared" si="93"/>
        <v/>
      </c>
      <c r="U96" s="15" t="str">
        <f t="shared" si="93"/>
        <v/>
      </c>
      <c r="V96" s="15" t="str">
        <f t="shared" si="93"/>
        <v/>
      </c>
      <c r="W96" s="15" t="str">
        <f t="shared" si="93"/>
        <v/>
      </c>
      <c r="X96" s="15" t="str">
        <f t="shared" si="93"/>
        <v/>
      </c>
      <c r="Y96" s="15" t="str">
        <f t="shared" si="93"/>
        <v/>
      </c>
      <c r="Z96" s="15" t="str">
        <f t="shared" si="93"/>
        <v/>
      </c>
      <c r="AA96" s="15" t="str">
        <f t="shared" si="93"/>
        <v/>
      </c>
      <c r="AB96" s="15" t="str">
        <f t="shared" si="93"/>
        <v/>
      </c>
      <c r="AC96" s="15" t="str">
        <f t="shared" si="93"/>
        <v/>
      </c>
      <c r="AD96" s="15" t="str">
        <f t="shared" si="93"/>
        <v/>
      </c>
      <c r="AE96" s="15" t="str">
        <f t="shared" si="93"/>
        <v/>
      </c>
      <c r="AF96" s="15" t="str">
        <f t="shared" si="93"/>
        <v/>
      </c>
      <c r="AG96" s="15" t="str">
        <f t="shared" si="93"/>
        <v/>
      </c>
      <c r="AH96" s="15" t="str">
        <f t="shared" si="93"/>
        <v/>
      </c>
      <c r="AI96" s="15" t="str">
        <f t="shared" si="93"/>
        <v/>
      </c>
      <c r="AJ96" s="15" t="str">
        <f t="shared" si="93"/>
        <v/>
      </c>
      <c r="AK96" s="15" t="str">
        <f t="shared" si="93"/>
        <v/>
      </c>
      <c r="AL96" s="15" t="str">
        <f t="shared" si="93"/>
        <v/>
      </c>
      <c r="AM96" s="15" t="str">
        <f t="shared" si="93"/>
        <v/>
      </c>
      <c r="AN96" s="15" t="str">
        <f t="shared" si="93"/>
        <v/>
      </c>
      <c r="AO96" s="15" t="str">
        <f t="shared" si="93"/>
        <v/>
      </c>
      <c r="AP96" s="15" t="str">
        <f t="shared" si="93"/>
        <v/>
      </c>
      <c r="AQ96" s="15" t="str">
        <f t="shared" si="93"/>
        <v/>
      </c>
      <c r="AR96" s="15" t="str">
        <f t="shared" si="93"/>
        <v/>
      </c>
      <c r="AS96" s="15" t="str">
        <f t="shared" si="93"/>
        <v/>
      </c>
      <c r="AT96" s="15" t="str">
        <f t="shared" si="93"/>
        <v/>
      </c>
      <c r="AU96" s="15" t="str">
        <f t="shared" si="93"/>
        <v/>
      </c>
      <c r="AV96" s="15" t="str">
        <f t="shared" si="93"/>
        <v/>
      </c>
      <c r="AW96" s="15" t="str">
        <f t="shared" si="93"/>
        <v/>
      </c>
      <c r="AX96" s="15" t="str">
        <f t="shared" si="93"/>
        <v/>
      </c>
      <c r="AY96" s="15" t="str">
        <f t="shared" si="93"/>
        <v/>
      </c>
    </row>
    <row r="97" ht="18.0" customHeight="1">
      <c r="A97" s="13" t="str">
        <f t="shared" si="1"/>
        <v/>
      </c>
      <c r="B97" s="13" t="str">
        <f t="shared" si="2"/>
        <v/>
      </c>
      <c r="C97" s="12" t="str">
        <f t="shared" si="3"/>
        <v/>
      </c>
      <c r="D97" s="12" t="str">
        <f t="shared" si="4"/>
        <v/>
      </c>
      <c r="E97" s="12" t="str">
        <f t="shared" si="5"/>
        <v/>
      </c>
      <c r="F97" s="12" t="str">
        <f t="shared" si="6"/>
        <v/>
      </c>
      <c r="G97" s="12" t="str">
        <f t="shared" si="7"/>
        <v/>
      </c>
      <c r="H97" s="12" t="str">
        <f t="shared" si="8"/>
        <v/>
      </c>
      <c r="I97" s="12" t="str">
        <f t="shared" si="9"/>
        <v/>
      </c>
      <c r="J97" s="12" t="str">
        <f t="shared" si="10"/>
        <v/>
      </c>
      <c r="L97" s="15" t="str">
        <f t="shared" ref="L97:AY97" si="94">IF(L$13="","",IF(AND(L$13&gt;$H96,L$13&lt;=$I96),IF(AND(MOD($B$6,2)=1,L$13=ROUNDUP($J96,0)),"0",IF(L$13=INT($H96)+1,ROUNDDOWN(ABS(L$13-$J96),0),IF(L$13=INT($I96),ROUNDUP(ABS(L$13-$J96),0),""))),""))</f>
        <v/>
      </c>
      <c r="M97" s="15" t="str">
        <f t="shared" si="94"/>
        <v/>
      </c>
      <c r="N97" s="15" t="str">
        <f t="shared" si="94"/>
        <v/>
      </c>
      <c r="O97" s="15" t="str">
        <f t="shared" si="94"/>
        <v/>
      </c>
      <c r="P97" s="15" t="str">
        <f t="shared" si="94"/>
        <v/>
      </c>
      <c r="Q97" s="15" t="str">
        <f t="shared" si="94"/>
        <v/>
      </c>
      <c r="R97" s="15" t="str">
        <f t="shared" si="94"/>
        <v/>
      </c>
      <c r="S97" s="15" t="str">
        <f t="shared" si="94"/>
        <v/>
      </c>
      <c r="T97" s="15" t="str">
        <f t="shared" si="94"/>
        <v/>
      </c>
      <c r="U97" s="15" t="str">
        <f t="shared" si="94"/>
        <v/>
      </c>
      <c r="V97" s="15" t="str">
        <f t="shared" si="94"/>
        <v/>
      </c>
      <c r="W97" s="15" t="str">
        <f t="shared" si="94"/>
        <v/>
      </c>
      <c r="X97" s="15" t="str">
        <f t="shared" si="94"/>
        <v/>
      </c>
      <c r="Y97" s="15" t="str">
        <f t="shared" si="94"/>
        <v/>
      </c>
      <c r="Z97" s="15" t="str">
        <f t="shared" si="94"/>
        <v/>
      </c>
      <c r="AA97" s="15" t="str">
        <f t="shared" si="94"/>
        <v/>
      </c>
      <c r="AB97" s="15" t="str">
        <f t="shared" si="94"/>
        <v/>
      </c>
      <c r="AC97" s="15" t="str">
        <f t="shared" si="94"/>
        <v/>
      </c>
      <c r="AD97" s="15" t="str">
        <f t="shared" si="94"/>
        <v/>
      </c>
      <c r="AE97" s="15" t="str">
        <f t="shared" si="94"/>
        <v/>
      </c>
      <c r="AF97" s="15" t="str">
        <f t="shared" si="94"/>
        <v/>
      </c>
      <c r="AG97" s="15" t="str">
        <f t="shared" si="94"/>
        <v/>
      </c>
      <c r="AH97" s="15" t="str">
        <f t="shared" si="94"/>
        <v/>
      </c>
      <c r="AI97" s="15" t="str">
        <f t="shared" si="94"/>
        <v/>
      </c>
      <c r="AJ97" s="15" t="str">
        <f t="shared" si="94"/>
        <v/>
      </c>
      <c r="AK97" s="15" t="str">
        <f t="shared" si="94"/>
        <v/>
      </c>
      <c r="AL97" s="15" t="str">
        <f t="shared" si="94"/>
        <v/>
      </c>
      <c r="AM97" s="15" t="str">
        <f t="shared" si="94"/>
        <v/>
      </c>
      <c r="AN97" s="15" t="str">
        <f t="shared" si="94"/>
        <v/>
      </c>
      <c r="AO97" s="15" t="str">
        <f t="shared" si="94"/>
        <v/>
      </c>
      <c r="AP97" s="15" t="str">
        <f t="shared" si="94"/>
        <v/>
      </c>
      <c r="AQ97" s="15" t="str">
        <f t="shared" si="94"/>
        <v/>
      </c>
      <c r="AR97" s="15" t="str">
        <f t="shared" si="94"/>
        <v/>
      </c>
      <c r="AS97" s="15" t="str">
        <f t="shared" si="94"/>
        <v/>
      </c>
      <c r="AT97" s="15" t="str">
        <f t="shared" si="94"/>
        <v/>
      </c>
      <c r="AU97" s="15" t="str">
        <f t="shared" si="94"/>
        <v/>
      </c>
      <c r="AV97" s="15" t="str">
        <f t="shared" si="94"/>
        <v/>
      </c>
      <c r="AW97" s="15" t="str">
        <f t="shared" si="94"/>
        <v/>
      </c>
      <c r="AX97" s="15" t="str">
        <f t="shared" si="94"/>
        <v/>
      </c>
      <c r="AY97" s="15" t="str">
        <f t="shared" si="94"/>
        <v/>
      </c>
    </row>
    <row r="98" ht="18.0" customHeight="1">
      <c r="A98" s="13" t="str">
        <f t="shared" si="1"/>
        <v/>
      </c>
      <c r="B98" s="13" t="str">
        <f t="shared" si="2"/>
        <v/>
      </c>
      <c r="C98" s="12" t="str">
        <f t="shared" si="3"/>
        <v/>
      </c>
      <c r="D98" s="12" t="str">
        <f t="shared" si="4"/>
        <v/>
      </c>
      <c r="E98" s="12" t="str">
        <f t="shared" si="5"/>
        <v/>
      </c>
      <c r="F98" s="12" t="str">
        <f t="shared" si="6"/>
        <v/>
      </c>
      <c r="G98" s="12" t="str">
        <f t="shared" si="7"/>
        <v/>
      </c>
      <c r="H98" s="12" t="str">
        <f t="shared" si="8"/>
        <v/>
      </c>
      <c r="I98" s="12" t="str">
        <f t="shared" si="9"/>
        <v/>
      </c>
      <c r="J98" s="12" t="str">
        <f t="shared" si="10"/>
        <v/>
      </c>
      <c r="L98" s="15" t="str">
        <f t="shared" ref="L98:AY98" si="95">IF(L$13="","",IF(AND(L$13&gt;$H97,L$13&lt;=$I97),IF(AND(MOD($B$6,2)=1,L$13=ROUNDUP($J97,0)),"0",IF(L$13=INT($H97)+1,ROUNDDOWN(ABS(L$13-$J97),0),IF(L$13=INT($I97),ROUNDUP(ABS(L$13-$J97),0),""))),""))</f>
        <v/>
      </c>
      <c r="M98" s="15" t="str">
        <f t="shared" si="95"/>
        <v/>
      </c>
      <c r="N98" s="15" t="str">
        <f t="shared" si="95"/>
        <v/>
      </c>
      <c r="O98" s="15" t="str">
        <f t="shared" si="95"/>
        <v/>
      </c>
      <c r="P98" s="15" t="str">
        <f t="shared" si="95"/>
        <v/>
      </c>
      <c r="Q98" s="15" t="str">
        <f t="shared" si="95"/>
        <v/>
      </c>
      <c r="R98" s="15" t="str">
        <f t="shared" si="95"/>
        <v/>
      </c>
      <c r="S98" s="15" t="str">
        <f t="shared" si="95"/>
        <v/>
      </c>
      <c r="T98" s="15" t="str">
        <f t="shared" si="95"/>
        <v/>
      </c>
      <c r="U98" s="15" t="str">
        <f t="shared" si="95"/>
        <v/>
      </c>
      <c r="V98" s="15" t="str">
        <f t="shared" si="95"/>
        <v/>
      </c>
      <c r="W98" s="15" t="str">
        <f t="shared" si="95"/>
        <v/>
      </c>
      <c r="X98" s="15" t="str">
        <f t="shared" si="95"/>
        <v/>
      </c>
      <c r="Y98" s="15" t="str">
        <f t="shared" si="95"/>
        <v/>
      </c>
      <c r="Z98" s="15" t="str">
        <f t="shared" si="95"/>
        <v/>
      </c>
      <c r="AA98" s="15" t="str">
        <f t="shared" si="95"/>
        <v/>
      </c>
      <c r="AB98" s="15" t="str">
        <f t="shared" si="95"/>
        <v/>
      </c>
      <c r="AC98" s="15" t="str">
        <f t="shared" si="95"/>
        <v/>
      </c>
      <c r="AD98" s="15" t="str">
        <f t="shared" si="95"/>
        <v/>
      </c>
      <c r="AE98" s="15" t="str">
        <f t="shared" si="95"/>
        <v/>
      </c>
      <c r="AF98" s="15" t="str">
        <f t="shared" si="95"/>
        <v/>
      </c>
      <c r="AG98" s="15" t="str">
        <f t="shared" si="95"/>
        <v/>
      </c>
      <c r="AH98" s="15" t="str">
        <f t="shared" si="95"/>
        <v/>
      </c>
      <c r="AI98" s="15" t="str">
        <f t="shared" si="95"/>
        <v/>
      </c>
      <c r="AJ98" s="15" t="str">
        <f t="shared" si="95"/>
        <v/>
      </c>
      <c r="AK98" s="15" t="str">
        <f t="shared" si="95"/>
        <v/>
      </c>
      <c r="AL98" s="15" t="str">
        <f t="shared" si="95"/>
        <v/>
      </c>
      <c r="AM98" s="15" t="str">
        <f t="shared" si="95"/>
        <v/>
      </c>
      <c r="AN98" s="15" t="str">
        <f t="shared" si="95"/>
        <v/>
      </c>
      <c r="AO98" s="15" t="str">
        <f t="shared" si="95"/>
        <v/>
      </c>
      <c r="AP98" s="15" t="str">
        <f t="shared" si="95"/>
        <v/>
      </c>
      <c r="AQ98" s="15" t="str">
        <f t="shared" si="95"/>
        <v/>
      </c>
      <c r="AR98" s="15" t="str">
        <f t="shared" si="95"/>
        <v/>
      </c>
      <c r="AS98" s="15" t="str">
        <f t="shared" si="95"/>
        <v/>
      </c>
      <c r="AT98" s="15" t="str">
        <f t="shared" si="95"/>
        <v/>
      </c>
      <c r="AU98" s="15" t="str">
        <f t="shared" si="95"/>
        <v/>
      </c>
      <c r="AV98" s="15" t="str">
        <f t="shared" si="95"/>
        <v/>
      </c>
      <c r="AW98" s="15" t="str">
        <f t="shared" si="95"/>
        <v/>
      </c>
      <c r="AX98" s="15" t="str">
        <f t="shared" si="95"/>
        <v/>
      </c>
      <c r="AY98" s="15" t="str">
        <f t="shared" si="95"/>
        <v/>
      </c>
    </row>
    <row r="99" ht="18.0" customHeight="1">
      <c r="A99" s="13" t="str">
        <f t="shared" si="1"/>
        <v/>
      </c>
      <c r="B99" s="13" t="str">
        <f t="shared" si="2"/>
        <v/>
      </c>
      <c r="C99" s="12" t="str">
        <f t="shared" si="3"/>
        <v/>
      </c>
      <c r="D99" s="12" t="str">
        <f t="shared" si="4"/>
        <v/>
      </c>
      <c r="E99" s="12" t="str">
        <f t="shared" si="5"/>
        <v/>
      </c>
      <c r="F99" s="12" t="str">
        <f t="shared" si="6"/>
        <v/>
      </c>
      <c r="G99" s="12" t="str">
        <f t="shared" si="7"/>
        <v/>
      </c>
      <c r="H99" s="12" t="str">
        <f t="shared" si="8"/>
        <v/>
      </c>
      <c r="I99" s="12" t="str">
        <f t="shared" si="9"/>
        <v/>
      </c>
      <c r="J99" s="12" t="str">
        <f t="shared" si="10"/>
        <v/>
      </c>
      <c r="L99" s="15" t="str">
        <f t="shared" ref="L99:AY99" si="96">IF(L$13="","",IF(AND(L$13&gt;$H98,L$13&lt;=$I98),IF(AND(MOD($B$6,2)=1,L$13=ROUNDUP($J98,0)),"0",IF(L$13=INT($H98)+1,ROUNDDOWN(ABS(L$13-$J98),0),IF(L$13=INT($I98),ROUNDUP(ABS(L$13-$J98),0),""))),""))</f>
        <v/>
      </c>
      <c r="M99" s="15" t="str">
        <f t="shared" si="96"/>
        <v/>
      </c>
      <c r="N99" s="15" t="str">
        <f t="shared" si="96"/>
        <v/>
      </c>
      <c r="O99" s="15" t="str">
        <f t="shared" si="96"/>
        <v/>
      </c>
      <c r="P99" s="15" t="str">
        <f t="shared" si="96"/>
        <v/>
      </c>
      <c r="Q99" s="15" t="str">
        <f t="shared" si="96"/>
        <v/>
      </c>
      <c r="R99" s="15" t="str">
        <f t="shared" si="96"/>
        <v/>
      </c>
      <c r="S99" s="15" t="str">
        <f t="shared" si="96"/>
        <v/>
      </c>
      <c r="T99" s="15" t="str">
        <f t="shared" si="96"/>
        <v/>
      </c>
      <c r="U99" s="15" t="str">
        <f t="shared" si="96"/>
        <v/>
      </c>
      <c r="V99" s="15" t="str">
        <f t="shared" si="96"/>
        <v/>
      </c>
      <c r="W99" s="15" t="str">
        <f t="shared" si="96"/>
        <v/>
      </c>
      <c r="X99" s="15" t="str">
        <f t="shared" si="96"/>
        <v/>
      </c>
      <c r="Y99" s="15" t="str">
        <f t="shared" si="96"/>
        <v/>
      </c>
      <c r="Z99" s="15" t="str">
        <f t="shared" si="96"/>
        <v/>
      </c>
      <c r="AA99" s="15" t="str">
        <f t="shared" si="96"/>
        <v/>
      </c>
      <c r="AB99" s="15" t="str">
        <f t="shared" si="96"/>
        <v/>
      </c>
      <c r="AC99" s="15" t="str">
        <f t="shared" si="96"/>
        <v/>
      </c>
      <c r="AD99" s="15" t="str">
        <f t="shared" si="96"/>
        <v/>
      </c>
      <c r="AE99" s="15" t="str">
        <f t="shared" si="96"/>
        <v/>
      </c>
      <c r="AF99" s="15" t="str">
        <f t="shared" si="96"/>
        <v/>
      </c>
      <c r="AG99" s="15" t="str">
        <f t="shared" si="96"/>
        <v/>
      </c>
      <c r="AH99" s="15" t="str">
        <f t="shared" si="96"/>
        <v/>
      </c>
      <c r="AI99" s="15" t="str">
        <f t="shared" si="96"/>
        <v/>
      </c>
      <c r="AJ99" s="15" t="str">
        <f t="shared" si="96"/>
        <v/>
      </c>
      <c r="AK99" s="15" t="str">
        <f t="shared" si="96"/>
        <v/>
      </c>
      <c r="AL99" s="15" t="str">
        <f t="shared" si="96"/>
        <v/>
      </c>
      <c r="AM99" s="15" t="str">
        <f t="shared" si="96"/>
        <v/>
      </c>
      <c r="AN99" s="15" t="str">
        <f t="shared" si="96"/>
        <v/>
      </c>
      <c r="AO99" s="15" t="str">
        <f t="shared" si="96"/>
        <v/>
      </c>
      <c r="AP99" s="15" t="str">
        <f t="shared" si="96"/>
        <v/>
      </c>
      <c r="AQ99" s="15" t="str">
        <f t="shared" si="96"/>
        <v/>
      </c>
      <c r="AR99" s="15" t="str">
        <f t="shared" si="96"/>
        <v/>
      </c>
      <c r="AS99" s="15" t="str">
        <f t="shared" si="96"/>
        <v/>
      </c>
      <c r="AT99" s="15" t="str">
        <f t="shared" si="96"/>
        <v/>
      </c>
      <c r="AU99" s="15" t="str">
        <f t="shared" si="96"/>
        <v/>
      </c>
      <c r="AV99" s="15" t="str">
        <f t="shared" si="96"/>
        <v/>
      </c>
      <c r="AW99" s="15" t="str">
        <f t="shared" si="96"/>
        <v/>
      </c>
      <c r="AX99" s="15" t="str">
        <f t="shared" si="96"/>
        <v/>
      </c>
      <c r="AY99" s="15" t="str">
        <f t="shared" si="96"/>
        <v/>
      </c>
    </row>
    <row r="100" ht="18.0" customHeight="1">
      <c r="A100" s="13" t="str">
        <f t="shared" si="1"/>
        <v/>
      </c>
      <c r="B100" s="13" t="str">
        <f t="shared" si="2"/>
        <v/>
      </c>
      <c r="C100" s="12" t="str">
        <f t="shared" si="3"/>
        <v/>
      </c>
      <c r="D100" s="12" t="str">
        <f t="shared" si="4"/>
        <v/>
      </c>
      <c r="E100" s="12" t="str">
        <f t="shared" si="5"/>
        <v/>
      </c>
      <c r="F100" s="12" t="str">
        <f t="shared" si="6"/>
        <v/>
      </c>
      <c r="G100" s="12" t="str">
        <f t="shared" si="7"/>
        <v/>
      </c>
      <c r="H100" s="12" t="str">
        <f t="shared" si="8"/>
        <v/>
      </c>
      <c r="I100" s="12" t="str">
        <f t="shared" si="9"/>
        <v/>
      </c>
      <c r="J100" s="12" t="str">
        <f t="shared" si="10"/>
        <v/>
      </c>
      <c r="L100" s="15" t="str">
        <f t="shared" ref="L100:AY100" si="97">IF(L$13="","",IF(AND(L$13&gt;$H99,L$13&lt;=$I99),IF(AND(MOD($B$6,2)=1,L$13=ROUNDUP($J99,0)),"0",IF(L$13=INT($H99)+1,ROUNDDOWN(ABS(L$13-$J99),0),IF(L$13=INT($I99),ROUNDUP(ABS(L$13-$J99),0),""))),""))</f>
        <v/>
      </c>
      <c r="M100" s="15" t="str">
        <f t="shared" si="97"/>
        <v/>
      </c>
      <c r="N100" s="15" t="str">
        <f t="shared" si="97"/>
        <v/>
      </c>
      <c r="O100" s="15" t="str">
        <f t="shared" si="97"/>
        <v/>
      </c>
      <c r="P100" s="15" t="str">
        <f t="shared" si="97"/>
        <v/>
      </c>
      <c r="Q100" s="15" t="str">
        <f t="shared" si="97"/>
        <v/>
      </c>
      <c r="R100" s="15" t="str">
        <f t="shared" si="97"/>
        <v/>
      </c>
      <c r="S100" s="15" t="str">
        <f t="shared" si="97"/>
        <v/>
      </c>
      <c r="T100" s="15" t="str">
        <f t="shared" si="97"/>
        <v/>
      </c>
      <c r="U100" s="15" t="str">
        <f t="shared" si="97"/>
        <v/>
      </c>
      <c r="V100" s="15" t="str">
        <f t="shared" si="97"/>
        <v/>
      </c>
      <c r="W100" s="15" t="str">
        <f t="shared" si="97"/>
        <v/>
      </c>
      <c r="X100" s="15" t="str">
        <f t="shared" si="97"/>
        <v/>
      </c>
      <c r="Y100" s="15" t="str">
        <f t="shared" si="97"/>
        <v/>
      </c>
      <c r="Z100" s="15" t="str">
        <f t="shared" si="97"/>
        <v/>
      </c>
      <c r="AA100" s="15" t="str">
        <f t="shared" si="97"/>
        <v/>
      </c>
      <c r="AB100" s="15" t="str">
        <f t="shared" si="97"/>
        <v/>
      </c>
      <c r="AC100" s="15" t="str">
        <f t="shared" si="97"/>
        <v/>
      </c>
      <c r="AD100" s="15" t="str">
        <f t="shared" si="97"/>
        <v/>
      </c>
      <c r="AE100" s="15" t="str">
        <f t="shared" si="97"/>
        <v/>
      </c>
      <c r="AF100" s="15" t="str">
        <f t="shared" si="97"/>
        <v/>
      </c>
      <c r="AG100" s="15" t="str">
        <f t="shared" si="97"/>
        <v/>
      </c>
      <c r="AH100" s="15" t="str">
        <f t="shared" si="97"/>
        <v/>
      </c>
      <c r="AI100" s="15" t="str">
        <f t="shared" si="97"/>
        <v/>
      </c>
      <c r="AJ100" s="15" t="str">
        <f t="shared" si="97"/>
        <v/>
      </c>
      <c r="AK100" s="15" t="str">
        <f t="shared" si="97"/>
        <v/>
      </c>
      <c r="AL100" s="15" t="str">
        <f t="shared" si="97"/>
        <v/>
      </c>
      <c r="AM100" s="15" t="str">
        <f t="shared" si="97"/>
        <v/>
      </c>
      <c r="AN100" s="15" t="str">
        <f t="shared" si="97"/>
        <v/>
      </c>
      <c r="AO100" s="15" t="str">
        <f t="shared" si="97"/>
        <v/>
      </c>
      <c r="AP100" s="15" t="str">
        <f t="shared" si="97"/>
        <v/>
      </c>
      <c r="AQ100" s="15" t="str">
        <f t="shared" si="97"/>
        <v/>
      </c>
      <c r="AR100" s="15" t="str">
        <f t="shared" si="97"/>
        <v/>
      </c>
      <c r="AS100" s="15" t="str">
        <f t="shared" si="97"/>
        <v/>
      </c>
      <c r="AT100" s="15" t="str">
        <f t="shared" si="97"/>
        <v/>
      </c>
      <c r="AU100" s="15" t="str">
        <f t="shared" si="97"/>
        <v/>
      </c>
      <c r="AV100" s="15" t="str">
        <f t="shared" si="97"/>
        <v/>
      </c>
      <c r="AW100" s="15" t="str">
        <f t="shared" si="97"/>
        <v/>
      </c>
      <c r="AX100" s="15" t="str">
        <f t="shared" si="97"/>
        <v/>
      </c>
      <c r="AY100" s="15" t="str">
        <f t="shared" si="97"/>
        <v/>
      </c>
    </row>
    <row r="101" ht="18.0" customHeight="1">
      <c r="A101" s="13" t="str">
        <f t="shared" si="1"/>
        <v/>
      </c>
      <c r="B101" s="13" t="str">
        <f t="shared" si="2"/>
        <v/>
      </c>
      <c r="C101" s="12" t="str">
        <f t="shared" si="3"/>
        <v/>
      </c>
      <c r="D101" s="12" t="str">
        <f t="shared" si="4"/>
        <v/>
      </c>
      <c r="E101" s="12" t="str">
        <f t="shared" si="5"/>
        <v/>
      </c>
      <c r="F101" s="12" t="str">
        <f t="shared" si="6"/>
        <v/>
      </c>
      <c r="G101" s="12" t="str">
        <f t="shared" si="7"/>
        <v/>
      </c>
      <c r="H101" s="12" t="str">
        <f t="shared" si="8"/>
        <v/>
      </c>
      <c r="I101" s="12" t="str">
        <f t="shared" si="9"/>
        <v/>
      </c>
      <c r="J101" s="12" t="str">
        <f t="shared" si="10"/>
        <v/>
      </c>
      <c r="L101" s="15" t="str">
        <f t="shared" ref="L101:AY101" si="98">IF(L$13="","",IF(AND(L$13&gt;$H100,L$13&lt;=$I100),IF(AND(MOD($B$6,2)=1,L$13=ROUNDUP($J100,0)),"0",IF(L$13=INT($H100)+1,ROUNDDOWN(ABS(L$13-$J100),0),IF(L$13=INT($I100),ROUNDUP(ABS(L$13-$J100),0),""))),""))</f>
        <v/>
      </c>
      <c r="M101" s="15" t="str">
        <f t="shared" si="98"/>
        <v/>
      </c>
      <c r="N101" s="15" t="str">
        <f t="shared" si="98"/>
        <v/>
      </c>
      <c r="O101" s="15" t="str">
        <f t="shared" si="98"/>
        <v/>
      </c>
      <c r="P101" s="15" t="str">
        <f t="shared" si="98"/>
        <v/>
      </c>
      <c r="Q101" s="15" t="str">
        <f t="shared" si="98"/>
        <v/>
      </c>
      <c r="R101" s="15" t="str">
        <f t="shared" si="98"/>
        <v/>
      </c>
      <c r="S101" s="15" t="str">
        <f t="shared" si="98"/>
        <v/>
      </c>
      <c r="T101" s="15" t="str">
        <f t="shared" si="98"/>
        <v/>
      </c>
      <c r="U101" s="15" t="str">
        <f t="shared" si="98"/>
        <v/>
      </c>
      <c r="V101" s="15" t="str">
        <f t="shared" si="98"/>
        <v/>
      </c>
      <c r="W101" s="15" t="str">
        <f t="shared" si="98"/>
        <v/>
      </c>
      <c r="X101" s="15" t="str">
        <f t="shared" si="98"/>
        <v/>
      </c>
      <c r="Y101" s="15" t="str">
        <f t="shared" si="98"/>
        <v/>
      </c>
      <c r="Z101" s="15" t="str">
        <f t="shared" si="98"/>
        <v/>
      </c>
      <c r="AA101" s="15" t="str">
        <f t="shared" si="98"/>
        <v/>
      </c>
      <c r="AB101" s="15" t="str">
        <f t="shared" si="98"/>
        <v/>
      </c>
      <c r="AC101" s="15" t="str">
        <f t="shared" si="98"/>
        <v/>
      </c>
      <c r="AD101" s="15" t="str">
        <f t="shared" si="98"/>
        <v/>
      </c>
      <c r="AE101" s="15" t="str">
        <f t="shared" si="98"/>
        <v/>
      </c>
      <c r="AF101" s="15" t="str">
        <f t="shared" si="98"/>
        <v/>
      </c>
      <c r="AG101" s="15" t="str">
        <f t="shared" si="98"/>
        <v/>
      </c>
      <c r="AH101" s="15" t="str">
        <f t="shared" si="98"/>
        <v/>
      </c>
      <c r="AI101" s="15" t="str">
        <f t="shared" si="98"/>
        <v/>
      </c>
      <c r="AJ101" s="15" t="str">
        <f t="shared" si="98"/>
        <v/>
      </c>
      <c r="AK101" s="15" t="str">
        <f t="shared" si="98"/>
        <v/>
      </c>
      <c r="AL101" s="15" t="str">
        <f t="shared" si="98"/>
        <v/>
      </c>
      <c r="AM101" s="15" t="str">
        <f t="shared" si="98"/>
        <v/>
      </c>
      <c r="AN101" s="15" t="str">
        <f t="shared" si="98"/>
        <v/>
      </c>
      <c r="AO101" s="15" t="str">
        <f t="shared" si="98"/>
        <v/>
      </c>
      <c r="AP101" s="15" t="str">
        <f t="shared" si="98"/>
        <v/>
      </c>
      <c r="AQ101" s="15" t="str">
        <f t="shared" si="98"/>
        <v/>
      </c>
      <c r="AR101" s="15" t="str">
        <f t="shared" si="98"/>
        <v/>
      </c>
      <c r="AS101" s="15" t="str">
        <f t="shared" si="98"/>
        <v/>
      </c>
      <c r="AT101" s="15" t="str">
        <f t="shared" si="98"/>
        <v/>
      </c>
      <c r="AU101" s="15" t="str">
        <f t="shared" si="98"/>
        <v/>
      </c>
      <c r="AV101" s="15" t="str">
        <f t="shared" si="98"/>
        <v/>
      </c>
      <c r="AW101" s="15" t="str">
        <f t="shared" si="98"/>
        <v/>
      </c>
      <c r="AX101" s="15" t="str">
        <f t="shared" si="98"/>
        <v/>
      </c>
      <c r="AY101" s="15" t="str">
        <f t="shared" si="98"/>
        <v/>
      </c>
    </row>
    <row r="102" ht="18.0" customHeight="1">
      <c r="A102" s="13" t="str">
        <f t="shared" si="1"/>
        <v/>
      </c>
      <c r="B102" s="13" t="str">
        <f t="shared" si="2"/>
        <v/>
      </c>
      <c r="C102" s="12" t="str">
        <f t="shared" si="3"/>
        <v/>
      </c>
      <c r="D102" s="12" t="str">
        <f t="shared" si="4"/>
        <v/>
      </c>
      <c r="E102" s="12" t="str">
        <f t="shared" si="5"/>
        <v/>
      </c>
      <c r="F102" s="12" t="str">
        <f t="shared" si="6"/>
        <v/>
      </c>
      <c r="G102" s="12" t="str">
        <f t="shared" si="7"/>
        <v/>
      </c>
      <c r="H102" s="12" t="str">
        <f t="shared" si="8"/>
        <v/>
      </c>
      <c r="I102" s="12" t="str">
        <f t="shared" si="9"/>
        <v/>
      </c>
      <c r="J102" s="12" t="str">
        <f t="shared" si="10"/>
        <v/>
      </c>
      <c r="L102" s="15" t="str">
        <f t="shared" ref="L102:AY102" si="99">IF(L$13="","",IF(AND(L$13&gt;$H101,L$13&lt;=$I101),IF(AND(MOD($B$6,2)=1,L$13=ROUNDUP($J101,0)),"0",IF(L$13=INT($H101)+1,ROUNDDOWN(ABS(L$13-$J101),0),IF(L$13=INT($I101),ROUNDUP(ABS(L$13-$J101),0),""))),""))</f>
        <v/>
      </c>
      <c r="M102" s="15" t="str">
        <f t="shared" si="99"/>
        <v/>
      </c>
      <c r="N102" s="15" t="str">
        <f t="shared" si="99"/>
        <v/>
      </c>
      <c r="O102" s="15" t="str">
        <f t="shared" si="99"/>
        <v/>
      </c>
      <c r="P102" s="15" t="str">
        <f t="shared" si="99"/>
        <v/>
      </c>
      <c r="Q102" s="15" t="str">
        <f t="shared" si="99"/>
        <v/>
      </c>
      <c r="R102" s="15" t="str">
        <f t="shared" si="99"/>
        <v/>
      </c>
      <c r="S102" s="15" t="str">
        <f t="shared" si="99"/>
        <v/>
      </c>
      <c r="T102" s="15" t="str">
        <f t="shared" si="99"/>
        <v/>
      </c>
      <c r="U102" s="15" t="str">
        <f t="shared" si="99"/>
        <v/>
      </c>
      <c r="V102" s="15" t="str">
        <f t="shared" si="99"/>
        <v/>
      </c>
      <c r="W102" s="15" t="str">
        <f t="shared" si="99"/>
        <v/>
      </c>
      <c r="X102" s="15" t="str">
        <f t="shared" si="99"/>
        <v/>
      </c>
      <c r="Y102" s="15" t="str">
        <f t="shared" si="99"/>
        <v/>
      </c>
      <c r="Z102" s="15" t="str">
        <f t="shared" si="99"/>
        <v/>
      </c>
      <c r="AA102" s="15" t="str">
        <f t="shared" si="99"/>
        <v/>
      </c>
      <c r="AB102" s="15" t="str">
        <f t="shared" si="99"/>
        <v/>
      </c>
      <c r="AC102" s="15" t="str">
        <f t="shared" si="99"/>
        <v/>
      </c>
      <c r="AD102" s="15" t="str">
        <f t="shared" si="99"/>
        <v/>
      </c>
      <c r="AE102" s="15" t="str">
        <f t="shared" si="99"/>
        <v/>
      </c>
      <c r="AF102" s="15" t="str">
        <f t="shared" si="99"/>
        <v/>
      </c>
      <c r="AG102" s="15" t="str">
        <f t="shared" si="99"/>
        <v/>
      </c>
      <c r="AH102" s="15" t="str">
        <f t="shared" si="99"/>
        <v/>
      </c>
      <c r="AI102" s="15" t="str">
        <f t="shared" si="99"/>
        <v/>
      </c>
      <c r="AJ102" s="15" t="str">
        <f t="shared" si="99"/>
        <v/>
      </c>
      <c r="AK102" s="15" t="str">
        <f t="shared" si="99"/>
        <v/>
      </c>
      <c r="AL102" s="15" t="str">
        <f t="shared" si="99"/>
        <v/>
      </c>
      <c r="AM102" s="15" t="str">
        <f t="shared" si="99"/>
        <v/>
      </c>
      <c r="AN102" s="15" t="str">
        <f t="shared" si="99"/>
        <v/>
      </c>
      <c r="AO102" s="15" t="str">
        <f t="shared" si="99"/>
        <v/>
      </c>
      <c r="AP102" s="15" t="str">
        <f t="shared" si="99"/>
        <v/>
      </c>
      <c r="AQ102" s="15" t="str">
        <f t="shared" si="99"/>
        <v/>
      </c>
      <c r="AR102" s="15" t="str">
        <f t="shared" si="99"/>
        <v/>
      </c>
      <c r="AS102" s="15" t="str">
        <f t="shared" si="99"/>
        <v/>
      </c>
      <c r="AT102" s="15" t="str">
        <f t="shared" si="99"/>
        <v/>
      </c>
      <c r="AU102" s="15" t="str">
        <f t="shared" si="99"/>
        <v/>
      </c>
      <c r="AV102" s="15" t="str">
        <f t="shared" si="99"/>
        <v/>
      </c>
      <c r="AW102" s="15" t="str">
        <f t="shared" si="99"/>
        <v/>
      </c>
      <c r="AX102" s="15" t="str">
        <f t="shared" si="99"/>
        <v/>
      </c>
      <c r="AY102" s="15" t="str">
        <f t="shared" si="99"/>
        <v/>
      </c>
    </row>
    <row r="103" ht="18.0" customHeight="1">
      <c r="A103" s="13" t="str">
        <f t="shared" si="1"/>
        <v/>
      </c>
      <c r="B103" s="13" t="str">
        <f t="shared" si="2"/>
        <v/>
      </c>
      <c r="C103" s="12" t="str">
        <f t="shared" si="3"/>
        <v/>
      </c>
      <c r="D103" s="12" t="str">
        <f t="shared" si="4"/>
        <v/>
      </c>
      <c r="E103" s="12" t="str">
        <f t="shared" si="5"/>
        <v/>
      </c>
      <c r="F103" s="12" t="str">
        <f t="shared" si="6"/>
        <v/>
      </c>
      <c r="G103" s="12" t="str">
        <f t="shared" si="7"/>
        <v/>
      </c>
      <c r="H103" s="12" t="str">
        <f t="shared" si="8"/>
        <v/>
      </c>
      <c r="I103" s="12" t="str">
        <f t="shared" si="9"/>
        <v/>
      </c>
      <c r="J103" s="12" t="str">
        <f t="shared" si="10"/>
        <v/>
      </c>
      <c r="L103" s="15" t="str">
        <f t="shared" ref="L103:AY103" si="100">IF(L$13="","",IF(AND(L$13&gt;$H102,L$13&lt;=$I102),IF(AND(MOD($B$6,2)=1,L$13=ROUNDUP($J102,0)),"0",IF(L$13=INT($H102)+1,ROUNDDOWN(ABS(L$13-$J102),0),IF(L$13=INT($I102),ROUNDUP(ABS(L$13-$J102),0),""))),""))</f>
        <v/>
      </c>
      <c r="M103" s="15" t="str">
        <f t="shared" si="100"/>
        <v/>
      </c>
      <c r="N103" s="15" t="str">
        <f t="shared" si="100"/>
        <v/>
      </c>
      <c r="O103" s="15" t="str">
        <f t="shared" si="100"/>
        <v/>
      </c>
      <c r="P103" s="15" t="str">
        <f t="shared" si="100"/>
        <v/>
      </c>
      <c r="Q103" s="15" t="str">
        <f t="shared" si="100"/>
        <v/>
      </c>
      <c r="R103" s="15" t="str">
        <f t="shared" si="100"/>
        <v/>
      </c>
      <c r="S103" s="15" t="str">
        <f t="shared" si="100"/>
        <v/>
      </c>
      <c r="T103" s="15" t="str">
        <f t="shared" si="100"/>
        <v/>
      </c>
      <c r="U103" s="15" t="str">
        <f t="shared" si="100"/>
        <v/>
      </c>
      <c r="V103" s="15" t="str">
        <f t="shared" si="100"/>
        <v/>
      </c>
      <c r="W103" s="15" t="str">
        <f t="shared" si="100"/>
        <v/>
      </c>
      <c r="X103" s="15" t="str">
        <f t="shared" si="100"/>
        <v/>
      </c>
      <c r="Y103" s="15" t="str">
        <f t="shared" si="100"/>
        <v/>
      </c>
      <c r="Z103" s="15" t="str">
        <f t="shared" si="100"/>
        <v/>
      </c>
      <c r="AA103" s="15" t="str">
        <f t="shared" si="100"/>
        <v/>
      </c>
      <c r="AB103" s="15" t="str">
        <f t="shared" si="100"/>
        <v/>
      </c>
      <c r="AC103" s="15" t="str">
        <f t="shared" si="100"/>
        <v/>
      </c>
      <c r="AD103" s="15" t="str">
        <f t="shared" si="100"/>
        <v/>
      </c>
      <c r="AE103" s="15" t="str">
        <f t="shared" si="100"/>
        <v/>
      </c>
      <c r="AF103" s="15" t="str">
        <f t="shared" si="100"/>
        <v/>
      </c>
      <c r="AG103" s="15" t="str">
        <f t="shared" si="100"/>
        <v/>
      </c>
      <c r="AH103" s="15" t="str">
        <f t="shared" si="100"/>
        <v/>
      </c>
      <c r="AI103" s="15" t="str">
        <f t="shared" si="100"/>
        <v/>
      </c>
      <c r="AJ103" s="15" t="str">
        <f t="shared" si="100"/>
        <v/>
      </c>
      <c r="AK103" s="15" t="str">
        <f t="shared" si="100"/>
        <v/>
      </c>
      <c r="AL103" s="15" t="str">
        <f t="shared" si="100"/>
        <v/>
      </c>
      <c r="AM103" s="15" t="str">
        <f t="shared" si="100"/>
        <v/>
      </c>
      <c r="AN103" s="15" t="str">
        <f t="shared" si="100"/>
        <v/>
      </c>
      <c r="AO103" s="15" t="str">
        <f t="shared" si="100"/>
        <v/>
      </c>
      <c r="AP103" s="15" t="str">
        <f t="shared" si="100"/>
        <v/>
      </c>
      <c r="AQ103" s="15" t="str">
        <f t="shared" si="100"/>
        <v/>
      </c>
      <c r="AR103" s="15" t="str">
        <f t="shared" si="100"/>
        <v/>
      </c>
      <c r="AS103" s="15" t="str">
        <f t="shared" si="100"/>
        <v/>
      </c>
      <c r="AT103" s="15" t="str">
        <f t="shared" si="100"/>
        <v/>
      </c>
      <c r="AU103" s="15" t="str">
        <f t="shared" si="100"/>
        <v/>
      </c>
      <c r="AV103" s="15" t="str">
        <f t="shared" si="100"/>
        <v/>
      </c>
      <c r="AW103" s="15" t="str">
        <f t="shared" si="100"/>
        <v/>
      </c>
      <c r="AX103" s="15" t="str">
        <f t="shared" si="100"/>
        <v/>
      </c>
      <c r="AY103" s="15" t="str">
        <f t="shared" si="100"/>
        <v/>
      </c>
    </row>
    <row r="104" ht="18.0" customHeight="1">
      <c r="A104" s="13" t="str">
        <f t="shared" si="1"/>
        <v/>
      </c>
      <c r="B104" s="13" t="str">
        <f t="shared" si="2"/>
        <v/>
      </c>
      <c r="C104" s="12" t="str">
        <f t="shared" si="3"/>
        <v/>
      </c>
      <c r="D104" s="12" t="str">
        <f t="shared" si="4"/>
        <v/>
      </c>
      <c r="E104" s="12" t="str">
        <f t="shared" si="5"/>
        <v/>
      </c>
      <c r="F104" s="12" t="str">
        <f t="shared" si="6"/>
        <v/>
      </c>
      <c r="G104" s="12" t="str">
        <f t="shared" si="7"/>
        <v/>
      </c>
      <c r="H104" s="12" t="str">
        <f t="shared" si="8"/>
        <v/>
      </c>
      <c r="I104" s="12" t="str">
        <f t="shared" si="9"/>
        <v/>
      </c>
      <c r="J104" s="12" t="str">
        <f t="shared" si="10"/>
        <v/>
      </c>
      <c r="L104" s="15" t="str">
        <f t="shared" ref="L104:AY104" si="101">IF(L$13="","",IF(AND(L$13&gt;$H103,L$13&lt;=$I103),IF(AND(MOD($B$6,2)=1,L$13=ROUNDUP($J103,0)),"0",IF(L$13=INT($H103)+1,ROUNDDOWN(ABS(L$13-$J103),0),IF(L$13=INT($I103),ROUNDUP(ABS(L$13-$J103),0),""))),""))</f>
        <v/>
      </c>
      <c r="M104" s="15" t="str">
        <f t="shared" si="101"/>
        <v/>
      </c>
      <c r="N104" s="15" t="str">
        <f t="shared" si="101"/>
        <v/>
      </c>
      <c r="O104" s="15" t="str">
        <f t="shared" si="101"/>
        <v/>
      </c>
      <c r="P104" s="15" t="str">
        <f t="shared" si="101"/>
        <v/>
      </c>
      <c r="Q104" s="15" t="str">
        <f t="shared" si="101"/>
        <v/>
      </c>
      <c r="R104" s="15" t="str">
        <f t="shared" si="101"/>
        <v/>
      </c>
      <c r="S104" s="15" t="str">
        <f t="shared" si="101"/>
        <v/>
      </c>
      <c r="T104" s="15" t="str">
        <f t="shared" si="101"/>
        <v/>
      </c>
      <c r="U104" s="15" t="str">
        <f t="shared" si="101"/>
        <v/>
      </c>
      <c r="V104" s="15" t="str">
        <f t="shared" si="101"/>
        <v/>
      </c>
      <c r="W104" s="15" t="str">
        <f t="shared" si="101"/>
        <v/>
      </c>
      <c r="X104" s="15" t="str">
        <f t="shared" si="101"/>
        <v/>
      </c>
      <c r="Y104" s="15" t="str">
        <f t="shared" si="101"/>
        <v/>
      </c>
      <c r="Z104" s="15" t="str">
        <f t="shared" si="101"/>
        <v/>
      </c>
      <c r="AA104" s="15" t="str">
        <f t="shared" si="101"/>
        <v/>
      </c>
      <c r="AB104" s="15" t="str">
        <f t="shared" si="101"/>
        <v/>
      </c>
      <c r="AC104" s="15" t="str">
        <f t="shared" si="101"/>
        <v/>
      </c>
      <c r="AD104" s="15" t="str">
        <f t="shared" si="101"/>
        <v/>
      </c>
      <c r="AE104" s="15" t="str">
        <f t="shared" si="101"/>
        <v/>
      </c>
      <c r="AF104" s="15" t="str">
        <f t="shared" si="101"/>
        <v/>
      </c>
      <c r="AG104" s="15" t="str">
        <f t="shared" si="101"/>
        <v/>
      </c>
      <c r="AH104" s="15" t="str">
        <f t="shared" si="101"/>
        <v/>
      </c>
      <c r="AI104" s="15" t="str">
        <f t="shared" si="101"/>
        <v/>
      </c>
      <c r="AJ104" s="15" t="str">
        <f t="shared" si="101"/>
        <v/>
      </c>
      <c r="AK104" s="15" t="str">
        <f t="shared" si="101"/>
        <v/>
      </c>
      <c r="AL104" s="15" t="str">
        <f t="shared" si="101"/>
        <v/>
      </c>
      <c r="AM104" s="15" t="str">
        <f t="shared" si="101"/>
        <v/>
      </c>
      <c r="AN104" s="15" t="str">
        <f t="shared" si="101"/>
        <v/>
      </c>
      <c r="AO104" s="15" t="str">
        <f t="shared" si="101"/>
        <v/>
      </c>
      <c r="AP104" s="15" t="str">
        <f t="shared" si="101"/>
        <v/>
      </c>
      <c r="AQ104" s="15" t="str">
        <f t="shared" si="101"/>
        <v/>
      </c>
      <c r="AR104" s="15" t="str">
        <f t="shared" si="101"/>
        <v/>
      </c>
      <c r="AS104" s="15" t="str">
        <f t="shared" si="101"/>
        <v/>
      </c>
      <c r="AT104" s="15" t="str">
        <f t="shared" si="101"/>
        <v/>
      </c>
      <c r="AU104" s="15" t="str">
        <f t="shared" si="101"/>
        <v/>
      </c>
      <c r="AV104" s="15" t="str">
        <f t="shared" si="101"/>
        <v/>
      </c>
      <c r="AW104" s="15" t="str">
        <f t="shared" si="101"/>
        <v/>
      </c>
      <c r="AX104" s="15" t="str">
        <f t="shared" si="101"/>
        <v/>
      </c>
      <c r="AY104" s="15" t="str">
        <f t="shared" si="101"/>
        <v/>
      </c>
    </row>
    <row r="105" ht="18.0" customHeight="1">
      <c r="A105" s="13" t="str">
        <f t="shared" si="1"/>
        <v/>
      </c>
      <c r="B105" s="13" t="str">
        <f t="shared" si="2"/>
        <v/>
      </c>
      <c r="C105" s="12" t="str">
        <f t="shared" si="3"/>
        <v/>
      </c>
      <c r="D105" s="12" t="str">
        <f t="shared" si="4"/>
        <v/>
      </c>
      <c r="E105" s="12" t="str">
        <f t="shared" si="5"/>
        <v/>
      </c>
      <c r="F105" s="12" t="str">
        <f t="shared" si="6"/>
        <v/>
      </c>
      <c r="G105" s="12" t="str">
        <f t="shared" si="7"/>
        <v/>
      </c>
      <c r="H105" s="12" t="str">
        <f t="shared" si="8"/>
        <v/>
      </c>
      <c r="I105" s="12" t="str">
        <f t="shared" si="9"/>
        <v/>
      </c>
      <c r="J105" s="12" t="str">
        <f t="shared" si="10"/>
        <v/>
      </c>
      <c r="L105" s="15" t="str">
        <f t="shared" ref="L105:AY105" si="102">IF(L$13="","",IF(AND(L$13&gt;$H104,L$13&lt;=$I104),IF(AND(MOD($B$6,2)=1,L$13=ROUNDUP($J104,0)),"0",IF(L$13=INT($H104)+1,ROUNDDOWN(ABS(L$13-$J104),0),IF(L$13=INT($I104),ROUNDUP(ABS(L$13-$J104),0),""))),""))</f>
        <v/>
      </c>
      <c r="M105" s="15" t="str">
        <f t="shared" si="102"/>
        <v/>
      </c>
      <c r="N105" s="15" t="str">
        <f t="shared" si="102"/>
        <v/>
      </c>
      <c r="O105" s="15" t="str">
        <f t="shared" si="102"/>
        <v/>
      </c>
      <c r="P105" s="15" t="str">
        <f t="shared" si="102"/>
        <v/>
      </c>
      <c r="Q105" s="15" t="str">
        <f t="shared" si="102"/>
        <v/>
      </c>
      <c r="R105" s="15" t="str">
        <f t="shared" si="102"/>
        <v/>
      </c>
      <c r="S105" s="15" t="str">
        <f t="shared" si="102"/>
        <v/>
      </c>
      <c r="T105" s="15" t="str">
        <f t="shared" si="102"/>
        <v/>
      </c>
      <c r="U105" s="15" t="str">
        <f t="shared" si="102"/>
        <v/>
      </c>
      <c r="V105" s="15" t="str">
        <f t="shared" si="102"/>
        <v/>
      </c>
      <c r="W105" s="15" t="str">
        <f t="shared" si="102"/>
        <v/>
      </c>
      <c r="X105" s="15" t="str">
        <f t="shared" si="102"/>
        <v/>
      </c>
      <c r="Y105" s="15" t="str">
        <f t="shared" si="102"/>
        <v/>
      </c>
      <c r="Z105" s="15" t="str">
        <f t="shared" si="102"/>
        <v/>
      </c>
      <c r="AA105" s="15" t="str">
        <f t="shared" si="102"/>
        <v/>
      </c>
      <c r="AB105" s="15" t="str">
        <f t="shared" si="102"/>
        <v/>
      </c>
      <c r="AC105" s="15" t="str">
        <f t="shared" si="102"/>
        <v/>
      </c>
      <c r="AD105" s="15" t="str">
        <f t="shared" si="102"/>
        <v/>
      </c>
      <c r="AE105" s="15" t="str">
        <f t="shared" si="102"/>
        <v/>
      </c>
      <c r="AF105" s="15" t="str">
        <f t="shared" si="102"/>
        <v/>
      </c>
      <c r="AG105" s="15" t="str">
        <f t="shared" si="102"/>
        <v/>
      </c>
      <c r="AH105" s="15" t="str">
        <f t="shared" si="102"/>
        <v/>
      </c>
      <c r="AI105" s="15" t="str">
        <f t="shared" si="102"/>
        <v/>
      </c>
      <c r="AJ105" s="15" t="str">
        <f t="shared" si="102"/>
        <v/>
      </c>
      <c r="AK105" s="15" t="str">
        <f t="shared" si="102"/>
        <v/>
      </c>
      <c r="AL105" s="15" t="str">
        <f t="shared" si="102"/>
        <v/>
      </c>
      <c r="AM105" s="15" t="str">
        <f t="shared" si="102"/>
        <v/>
      </c>
      <c r="AN105" s="15" t="str">
        <f t="shared" si="102"/>
        <v/>
      </c>
      <c r="AO105" s="15" t="str">
        <f t="shared" si="102"/>
        <v/>
      </c>
      <c r="AP105" s="15" t="str">
        <f t="shared" si="102"/>
        <v/>
      </c>
      <c r="AQ105" s="15" t="str">
        <f t="shared" si="102"/>
        <v/>
      </c>
      <c r="AR105" s="15" t="str">
        <f t="shared" si="102"/>
        <v/>
      </c>
      <c r="AS105" s="15" t="str">
        <f t="shared" si="102"/>
        <v/>
      </c>
      <c r="AT105" s="15" t="str">
        <f t="shared" si="102"/>
        <v/>
      </c>
      <c r="AU105" s="15" t="str">
        <f t="shared" si="102"/>
        <v/>
      </c>
      <c r="AV105" s="15" t="str">
        <f t="shared" si="102"/>
        <v/>
      </c>
      <c r="AW105" s="15" t="str">
        <f t="shared" si="102"/>
        <v/>
      </c>
      <c r="AX105" s="15" t="str">
        <f t="shared" si="102"/>
        <v/>
      </c>
      <c r="AY105" s="15" t="str">
        <f t="shared" si="102"/>
        <v/>
      </c>
    </row>
    <row r="106" ht="18.0" customHeight="1">
      <c r="A106" s="13" t="str">
        <f t="shared" si="1"/>
        <v/>
      </c>
      <c r="B106" s="13" t="str">
        <f t="shared" si="2"/>
        <v/>
      </c>
      <c r="C106" s="12" t="str">
        <f t="shared" si="3"/>
        <v/>
      </c>
      <c r="D106" s="12" t="str">
        <f t="shared" si="4"/>
        <v/>
      </c>
      <c r="E106" s="12" t="str">
        <f t="shared" si="5"/>
        <v/>
      </c>
      <c r="F106" s="12" t="str">
        <f t="shared" si="6"/>
        <v/>
      </c>
      <c r="G106" s="12" t="str">
        <f t="shared" si="7"/>
        <v/>
      </c>
      <c r="H106" s="12" t="str">
        <f t="shared" si="8"/>
        <v/>
      </c>
      <c r="I106" s="12" t="str">
        <f t="shared" si="9"/>
        <v/>
      </c>
      <c r="J106" s="12" t="str">
        <f t="shared" si="10"/>
        <v/>
      </c>
      <c r="L106" s="15" t="str">
        <f t="shared" ref="L106:AY106" si="103">IF(L$13="","",IF(AND(L$13&gt;$H105,L$13&lt;=$I105),IF(AND(MOD($B$6,2)=1,L$13=ROUNDUP($J105,0)),"0",IF(L$13=INT($H105)+1,ROUNDDOWN(ABS(L$13-$J105),0),IF(L$13=INT($I105),ROUNDUP(ABS(L$13-$J105),0),""))),""))</f>
        <v/>
      </c>
      <c r="M106" s="15" t="str">
        <f t="shared" si="103"/>
        <v/>
      </c>
      <c r="N106" s="15" t="str">
        <f t="shared" si="103"/>
        <v/>
      </c>
      <c r="O106" s="15" t="str">
        <f t="shared" si="103"/>
        <v/>
      </c>
      <c r="P106" s="15" t="str">
        <f t="shared" si="103"/>
        <v/>
      </c>
      <c r="Q106" s="15" t="str">
        <f t="shared" si="103"/>
        <v/>
      </c>
      <c r="R106" s="15" t="str">
        <f t="shared" si="103"/>
        <v/>
      </c>
      <c r="S106" s="15" t="str">
        <f t="shared" si="103"/>
        <v/>
      </c>
      <c r="T106" s="15" t="str">
        <f t="shared" si="103"/>
        <v/>
      </c>
      <c r="U106" s="15" t="str">
        <f t="shared" si="103"/>
        <v/>
      </c>
      <c r="V106" s="15" t="str">
        <f t="shared" si="103"/>
        <v/>
      </c>
      <c r="W106" s="15" t="str">
        <f t="shared" si="103"/>
        <v/>
      </c>
      <c r="X106" s="15" t="str">
        <f t="shared" si="103"/>
        <v/>
      </c>
      <c r="Y106" s="15" t="str">
        <f t="shared" si="103"/>
        <v/>
      </c>
      <c r="Z106" s="15" t="str">
        <f t="shared" si="103"/>
        <v/>
      </c>
      <c r="AA106" s="15" t="str">
        <f t="shared" si="103"/>
        <v/>
      </c>
      <c r="AB106" s="15" t="str">
        <f t="shared" si="103"/>
        <v/>
      </c>
      <c r="AC106" s="15" t="str">
        <f t="shared" si="103"/>
        <v/>
      </c>
      <c r="AD106" s="15" t="str">
        <f t="shared" si="103"/>
        <v/>
      </c>
      <c r="AE106" s="15" t="str">
        <f t="shared" si="103"/>
        <v/>
      </c>
      <c r="AF106" s="15" t="str">
        <f t="shared" si="103"/>
        <v/>
      </c>
      <c r="AG106" s="15" t="str">
        <f t="shared" si="103"/>
        <v/>
      </c>
      <c r="AH106" s="15" t="str">
        <f t="shared" si="103"/>
        <v/>
      </c>
      <c r="AI106" s="15" t="str">
        <f t="shared" si="103"/>
        <v/>
      </c>
      <c r="AJ106" s="15" t="str">
        <f t="shared" si="103"/>
        <v/>
      </c>
      <c r="AK106" s="15" t="str">
        <f t="shared" si="103"/>
        <v/>
      </c>
      <c r="AL106" s="15" t="str">
        <f t="shared" si="103"/>
        <v/>
      </c>
      <c r="AM106" s="15" t="str">
        <f t="shared" si="103"/>
        <v/>
      </c>
      <c r="AN106" s="15" t="str">
        <f t="shared" si="103"/>
        <v/>
      </c>
      <c r="AO106" s="15" t="str">
        <f t="shared" si="103"/>
        <v/>
      </c>
      <c r="AP106" s="15" t="str">
        <f t="shared" si="103"/>
        <v/>
      </c>
      <c r="AQ106" s="15" t="str">
        <f t="shared" si="103"/>
        <v/>
      </c>
      <c r="AR106" s="15" t="str">
        <f t="shared" si="103"/>
        <v/>
      </c>
      <c r="AS106" s="15" t="str">
        <f t="shared" si="103"/>
        <v/>
      </c>
      <c r="AT106" s="15" t="str">
        <f t="shared" si="103"/>
        <v/>
      </c>
      <c r="AU106" s="15" t="str">
        <f t="shared" si="103"/>
        <v/>
      </c>
      <c r="AV106" s="15" t="str">
        <f t="shared" si="103"/>
        <v/>
      </c>
      <c r="AW106" s="15" t="str">
        <f t="shared" si="103"/>
        <v/>
      </c>
      <c r="AX106" s="15" t="str">
        <f t="shared" si="103"/>
        <v/>
      </c>
      <c r="AY106" s="15" t="str">
        <f t="shared" si="103"/>
        <v/>
      </c>
    </row>
    <row r="107" ht="18.0" customHeight="1">
      <c r="A107" s="13" t="str">
        <f t="shared" si="1"/>
        <v/>
      </c>
      <c r="B107" s="13" t="str">
        <f t="shared" si="2"/>
        <v/>
      </c>
      <c r="C107" s="12" t="str">
        <f t="shared" si="3"/>
        <v/>
      </c>
      <c r="D107" s="12" t="str">
        <f t="shared" si="4"/>
        <v/>
      </c>
      <c r="E107" s="12" t="str">
        <f t="shared" si="5"/>
        <v/>
      </c>
      <c r="F107" s="12" t="str">
        <f t="shared" si="6"/>
        <v/>
      </c>
      <c r="G107" s="12" t="str">
        <f t="shared" si="7"/>
        <v/>
      </c>
      <c r="H107" s="12" t="str">
        <f t="shared" si="8"/>
        <v/>
      </c>
      <c r="I107" s="12" t="str">
        <f t="shared" si="9"/>
        <v/>
      </c>
      <c r="J107" s="12" t="str">
        <f t="shared" si="10"/>
        <v/>
      </c>
      <c r="L107" s="15" t="str">
        <f t="shared" ref="L107:AY107" si="104">IF(L$13="","",IF(AND(L$13&gt;$H106,L$13&lt;=$I106),IF(AND(MOD($B$6,2)=1,L$13=ROUNDUP($J106,0)),"0",IF(L$13=INT($H106)+1,ROUNDDOWN(ABS(L$13-$J106),0),IF(L$13=INT($I106),ROUNDUP(ABS(L$13-$J106),0),""))),""))</f>
        <v/>
      </c>
      <c r="M107" s="15" t="str">
        <f t="shared" si="104"/>
        <v/>
      </c>
      <c r="N107" s="15" t="str">
        <f t="shared" si="104"/>
        <v/>
      </c>
      <c r="O107" s="15" t="str">
        <f t="shared" si="104"/>
        <v/>
      </c>
      <c r="P107" s="15" t="str">
        <f t="shared" si="104"/>
        <v/>
      </c>
      <c r="Q107" s="15" t="str">
        <f t="shared" si="104"/>
        <v/>
      </c>
      <c r="R107" s="15" t="str">
        <f t="shared" si="104"/>
        <v/>
      </c>
      <c r="S107" s="15" t="str">
        <f t="shared" si="104"/>
        <v/>
      </c>
      <c r="T107" s="15" t="str">
        <f t="shared" si="104"/>
        <v/>
      </c>
      <c r="U107" s="15" t="str">
        <f t="shared" si="104"/>
        <v/>
      </c>
      <c r="V107" s="15" t="str">
        <f t="shared" si="104"/>
        <v/>
      </c>
      <c r="W107" s="15" t="str">
        <f t="shared" si="104"/>
        <v/>
      </c>
      <c r="X107" s="15" t="str">
        <f t="shared" si="104"/>
        <v/>
      </c>
      <c r="Y107" s="15" t="str">
        <f t="shared" si="104"/>
        <v/>
      </c>
      <c r="Z107" s="15" t="str">
        <f t="shared" si="104"/>
        <v/>
      </c>
      <c r="AA107" s="15" t="str">
        <f t="shared" si="104"/>
        <v/>
      </c>
      <c r="AB107" s="15" t="str">
        <f t="shared" si="104"/>
        <v/>
      </c>
      <c r="AC107" s="15" t="str">
        <f t="shared" si="104"/>
        <v/>
      </c>
      <c r="AD107" s="15" t="str">
        <f t="shared" si="104"/>
        <v/>
      </c>
      <c r="AE107" s="15" t="str">
        <f t="shared" si="104"/>
        <v/>
      </c>
      <c r="AF107" s="15" t="str">
        <f t="shared" si="104"/>
        <v/>
      </c>
      <c r="AG107" s="15" t="str">
        <f t="shared" si="104"/>
        <v/>
      </c>
      <c r="AH107" s="15" t="str">
        <f t="shared" si="104"/>
        <v/>
      </c>
      <c r="AI107" s="15" t="str">
        <f t="shared" si="104"/>
        <v/>
      </c>
      <c r="AJ107" s="15" t="str">
        <f t="shared" si="104"/>
        <v/>
      </c>
      <c r="AK107" s="15" t="str">
        <f t="shared" si="104"/>
        <v/>
      </c>
      <c r="AL107" s="15" t="str">
        <f t="shared" si="104"/>
        <v/>
      </c>
      <c r="AM107" s="15" t="str">
        <f t="shared" si="104"/>
        <v/>
      </c>
      <c r="AN107" s="15" t="str">
        <f t="shared" si="104"/>
        <v/>
      </c>
      <c r="AO107" s="15" t="str">
        <f t="shared" si="104"/>
        <v/>
      </c>
      <c r="AP107" s="15" t="str">
        <f t="shared" si="104"/>
        <v/>
      </c>
      <c r="AQ107" s="15" t="str">
        <f t="shared" si="104"/>
        <v/>
      </c>
      <c r="AR107" s="15" t="str">
        <f t="shared" si="104"/>
        <v/>
      </c>
      <c r="AS107" s="15" t="str">
        <f t="shared" si="104"/>
        <v/>
      </c>
      <c r="AT107" s="15" t="str">
        <f t="shared" si="104"/>
        <v/>
      </c>
      <c r="AU107" s="15" t="str">
        <f t="shared" si="104"/>
        <v/>
      </c>
      <c r="AV107" s="15" t="str">
        <f t="shared" si="104"/>
        <v/>
      </c>
      <c r="AW107" s="15" t="str">
        <f t="shared" si="104"/>
        <v/>
      </c>
      <c r="AX107" s="15" t="str">
        <f t="shared" si="104"/>
        <v/>
      </c>
      <c r="AY107" s="15" t="str">
        <f t="shared" si="104"/>
        <v/>
      </c>
    </row>
    <row r="108" ht="18.0" customHeight="1">
      <c r="A108" s="13" t="str">
        <f t="shared" si="1"/>
        <v/>
      </c>
      <c r="B108" s="13" t="str">
        <f t="shared" si="2"/>
        <v/>
      </c>
      <c r="C108" s="12" t="str">
        <f t="shared" si="3"/>
        <v/>
      </c>
      <c r="D108" s="12" t="str">
        <f t="shared" si="4"/>
        <v/>
      </c>
      <c r="E108" s="12" t="str">
        <f t="shared" si="5"/>
        <v/>
      </c>
      <c r="F108" s="12" t="str">
        <f t="shared" si="6"/>
        <v/>
      </c>
      <c r="G108" s="12" t="str">
        <f t="shared" si="7"/>
        <v/>
      </c>
      <c r="H108" s="12" t="str">
        <f t="shared" si="8"/>
        <v/>
      </c>
      <c r="I108" s="12" t="str">
        <f t="shared" si="9"/>
        <v/>
      </c>
      <c r="J108" s="12" t="str">
        <f t="shared" si="10"/>
        <v/>
      </c>
      <c r="L108" s="15" t="str">
        <f t="shared" ref="L108:AY108" si="105">IF(L$13="","",IF(AND(L$13&gt;$H107,L$13&lt;=$I107),IF(AND(MOD($B$6,2)=1,L$13=ROUNDUP($J107,0)),"0",IF(L$13=INT($H107)+1,ROUNDDOWN(ABS(L$13-$J107),0),IF(L$13=INT($I107),ROUNDUP(ABS(L$13-$J107),0),""))),""))</f>
        <v/>
      </c>
      <c r="M108" s="15" t="str">
        <f t="shared" si="105"/>
        <v/>
      </c>
      <c r="N108" s="15" t="str">
        <f t="shared" si="105"/>
        <v/>
      </c>
      <c r="O108" s="15" t="str">
        <f t="shared" si="105"/>
        <v/>
      </c>
      <c r="P108" s="15" t="str">
        <f t="shared" si="105"/>
        <v/>
      </c>
      <c r="Q108" s="15" t="str">
        <f t="shared" si="105"/>
        <v/>
      </c>
      <c r="R108" s="15" t="str">
        <f t="shared" si="105"/>
        <v/>
      </c>
      <c r="S108" s="15" t="str">
        <f t="shared" si="105"/>
        <v/>
      </c>
      <c r="T108" s="15" t="str">
        <f t="shared" si="105"/>
        <v/>
      </c>
      <c r="U108" s="15" t="str">
        <f t="shared" si="105"/>
        <v/>
      </c>
      <c r="V108" s="15" t="str">
        <f t="shared" si="105"/>
        <v/>
      </c>
      <c r="W108" s="15" t="str">
        <f t="shared" si="105"/>
        <v/>
      </c>
      <c r="X108" s="15" t="str">
        <f t="shared" si="105"/>
        <v/>
      </c>
      <c r="Y108" s="15" t="str">
        <f t="shared" si="105"/>
        <v/>
      </c>
      <c r="Z108" s="15" t="str">
        <f t="shared" si="105"/>
        <v/>
      </c>
      <c r="AA108" s="15" t="str">
        <f t="shared" si="105"/>
        <v/>
      </c>
      <c r="AB108" s="15" t="str">
        <f t="shared" si="105"/>
        <v/>
      </c>
      <c r="AC108" s="15" t="str">
        <f t="shared" si="105"/>
        <v/>
      </c>
      <c r="AD108" s="15" t="str">
        <f t="shared" si="105"/>
        <v/>
      </c>
      <c r="AE108" s="15" t="str">
        <f t="shared" si="105"/>
        <v/>
      </c>
      <c r="AF108" s="15" t="str">
        <f t="shared" si="105"/>
        <v/>
      </c>
      <c r="AG108" s="15" t="str">
        <f t="shared" si="105"/>
        <v/>
      </c>
      <c r="AH108" s="15" t="str">
        <f t="shared" si="105"/>
        <v/>
      </c>
      <c r="AI108" s="15" t="str">
        <f t="shared" si="105"/>
        <v/>
      </c>
      <c r="AJ108" s="15" t="str">
        <f t="shared" si="105"/>
        <v/>
      </c>
      <c r="AK108" s="15" t="str">
        <f t="shared" si="105"/>
        <v/>
      </c>
      <c r="AL108" s="15" t="str">
        <f t="shared" si="105"/>
        <v/>
      </c>
      <c r="AM108" s="15" t="str">
        <f t="shared" si="105"/>
        <v/>
      </c>
      <c r="AN108" s="15" t="str">
        <f t="shared" si="105"/>
        <v/>
      </c>
      <c r="AO108" s="15" t="str">
        <f t="shared" si="105"/>
        <v/>
      </c>
      <c r="AP108" s="15" t="str">
        <f t="shared" si="105"/>
        <v/>
      </c>
      <c r="AQ108" s="15" t="str">
        <f t="shared" si="105"/>
        <v/>
      </c>
      <c r="AR108" s="15" t="str">
        <f t="shared" si="105"/>
        <v/>
      </c>
      <c r="AS108" s="15" t="str">
        <f t="shared" si="105"/>
        <v/>
      </c>
      <c r="AT108" s="15" t="str">
        <f t="shared" si="105"/>
        <v/>
      </c>
      <c r="AU108" s="15" t="str">
        <f t="shared" si="105"/>
        <v/>
      </c>
      <c r="AV108" s="15" t="str">
        <f t="shared" si="105"/>
        <v/>
      </c>
      <c r="AW108" s="15" t="str">
        <f t="shared" si="105"/>
        <v/>
      </c>
      <c r="AX108" s="15" t="str">
        <f t="shared" si="105"/>
        <v/>
      </c>
      <c r="AY108" s="15" t="str">
        <f t="shared" si="105"/>
        <v/>
      </c>
    </row>
    <row r="109" ht="18.0" customHeight="1">
      <c r="A109" s="13" t="str">
        <f t="shared" si="1"/>
        <v/>
      </c>
      <c r="B109" s="13" t="str">
        <f t="shared" si="2"/>
        <v/>
      </c>
      <c r="C109" s="12" t="str">
        <f t="shared" si="3"/>
        <v/>
      </c>
      <c r="D109" s="12" t="str">
        <f t="shared" si="4"/>
        <v/>
      </c>
      <c r="E109" s="12" t="str">
        <f t="shared" si="5"/>
        <v/>
      </c>
      <c r="F109" s="12" t="str">
        <f t="shared" si="6"/>
        <v/>
      </c>
      <c r="G109" s="12" t="str">
        <f t="shared" si="7"/>
        <v/>
      </c>
      <c r="H109" s="12" t="str">
        <f t="shared" si="8"/>
        <v/>
      </c>
      <c r="I109" s="12" t="str">
        <f t="shared" si="9"/>
        <v/>
      </c>
      <c r="J109" s="12" t="str">
        <f t="shared" si="10"/>
        <v/>
      </c>
      <c r="L109" s="15" t="str">
        <f t="shared" ref="L109:AY109" si="106">IF(L$13="","",IF(AND(L$13&gt;$H108,L$13&lt;=$I108),IF(AND(MOD($B$6,2)=1,L$13=ROUNDUP($J108,0)),"0",IF(L$13=INT($H108)+1,ROUNDDOWN(ABS(L$13-$J108),0),IF(L$13=INT($I108),ROUNDUP(ABS(L$13-$J108),0),""))),""))</f>
        <v/>
      </c>
      <c r="M109" s="15" t="str">
        <f t="shared" si="106"/>
        <v/>
      </c>
      <c r="N109" s="15" t="str">
        <f t="shared" si="106"/>
        <v/>
      </c>
      <c r="O109" s="15" t="str">
        <f t="shared" si="106"/>
        <v/>
      </c>
      <c r="P109" s="15" t="str">
        <f t="shared" si="106"/>
        <v/>
      </c>
      <c r="Q109" s="15" t="str">
        <f t="shared" si="106"/>
        <v/>
      </c>
      <c r="R109" s="15" t="str">
        <f t="shared" si="106"/>
        <v/>
      </c>
      <c r="S109" s="15" t="str">
        <f t="shared" si="106"/>
        <v/>
      </c>
      <c r="T109" s="15" t="str">
        <f t="shared" si="106"/>
        <v/>
      </c>
      <c r="U109" s="15" t="str">
        <f t="shared" si="106"/>
        <v/>
      </c>
      <c r="V109" s="15" t="str">
        <f t="shared" si="106"/>
        <v/>
      </c>
      <c r="W109" s="15" t="str">
        <f t="shared" si="106"/>
        <v/>
      </c>
      <c r="X109" s="15" t="str">
        <f t="shared" si="106"/>
        <v/>
      </c>
      <c r="Y109" s="15" t="str">
        <f t="shared" si="106"/>
        <v/>
      </c>
      <c r="Z109" s="15" t="str">
        <f t="shared" si="106"/>
        <v/>
      </c>
      <c r="AA109" s="15" t="str">
        <f t="shared" si="106"/>
        <v/>
      </c>
      <c r="AB109" s="15" t="str">
        <f t="shared" si="106"/>
        <v/>
      </c>
      <c r="AC109" s="15" t="str">
        <f t="shared" si="106"/>
        <v/>
      </c>
      <c r="AD109" s="15" t="str">
        <f t="shared" si="106"/>
        <v/>
      </c>
      <c r="AE109" s="15" t="str">
        <f t="shared" si="106"/>
        <v/>
      </c>
      <c r="AF109" s="15" t="str">
        <f t="shared" si="106"/>
        <v/>
      </c>
      <c r="AG109" s="15" t="str">
        <f t="shared" si="106"/>
        <v/>
      </c>
      <c r="AH109" s="15" t="str">
        <f t="shared" si="106"/>
        <v/>
      </c>
      <c r="AI109" s="15" t="str">
        <f t="shared" si="106"/>
        <v/>
      </c>
      <c r="AJ109" s="15" t="str">
        <f t="shared" si="106"/>
        <v/>
      </c>
      <c r="AK109" s="15" t="str">
        <f t="shared" si="106"/>
        <v/>
      </c>
      <c r="AL109" s="15" t="str">
        <f t="shared" si="106"/>
        <v/>
      </c>
      <c r="AM109" s="15" t="str">
        <f t="shared" si="106"/>
        <v/>
      </c>
      <c r="AN109" s="15" t="str">
        <f t="shared" si="106"/>
        <v/>
      </c>
      <c r="AO109" s="15" t="str">
        <f t="shared" si="106"/>
        <v/>
      </c>
      <c r="AP109" s="15" t="str">
        <f t="shared" si="106"/>
        <v/>
      </c>
      <c r="AQ109" s="15" t="str">
        <f t="shared" si="106"/>
        <v/>
      </c>
      <c r="AR109" s="15" t="str">
        <f t="shared" si="106"/>
        <v/>
      </c>
      <c r="AS109" s="15" t="str">
        <f t="shared" si="106"/>
        <v/>
      </c>
      <c r="AT109" s="15" t="str">
        <f t="shared" si="106"/>
        <v/>
      </c>
      <c r="AU109" s="15" t="str">
        <f t="shared" si="106"/>
        <v/>
      </c>
      <c r="AV109" s="15" t="str">
        <f t="shared" si="106"/>
        <v/>
      </c>
      <c r="AW109" s="15" t="str">
        <f t="shared" si="106"/>
        <v/>
      </c>
      <c r="AX109" s="15" t="str">
        <f t="shared" si="106"/>
        <v/>
      </c>
      <c r="AY109" s="15" t="str">
        <f t="shared" si="106"/>
        <v/>
      </c>
    </row>
    <row r="110" ht="18.0" customHeight="1">
      <c r="A110" s="13" t="str">
        <f t="shared" si="1"/>
        <v/>
      </c>
      <c r="B110" s="13" t="str">
        <f t="shared" si="2"/>
        <v/>
      </c>
      <c r="C110" s="12" t="str">
        <f t="shared" si="3"/>
        <v/>
      </c>
      <c r="D110" s="12" t="str">
        <f t="shared" si="4"/>
        <v/>
      </c>
      <c r="E110" s="12" t="str">
        <f t="shared" si="5"/>
        <v/>
      </c>
      <c r="F110" s="12" t="str">
        <f t="shared" si="6"/>
        <v/>
      </c>
      <c r="G110" s="12" t="str">
        <f t="shared" si="7"/>
        <v/>
      </c>
      <c r="H110" s="12" t="str">
        <f t="shared" si="8"/>
        <v/>
      </c>
      <c r="I110" s="12" t="str">
        <f t="shared" si="9"/>
        <v/>
      </c>
      <c r="J110" s="12" t="str">
        <f t="shared" si="10"/>
        <v/>
      </c>
      <c r="L110" s="15" t="str">
        <f t="shared" ref="L110:AY110" si="107">IF(L$13="","",IF(AND(L$13&gt;$H109,L$13&lt;=$I109),IF(AND(MOD($B$6,2)=1,L$13=ROUNDUP($J109,0)),"0",IF(L$13=INT($H109)+1,ROUNDDOWN(ABS(L$13-$J109),0),IF(L$13=INT($I109),ROUNDUP(ABS(L$13-$J109),0),""))),""))</f>
        <v/>
      </c>
      <c r="M110" s="15" t="str">
        <f t="shared" si="107"/>
        <v/>
      </c>
      <c r="N110" s="15" t="str">
        <f t="shared" si="107"/>
        <v/>
      </c>
      <c r="O110" s="15" t="str">
        <f t="shared" si="107"/>
        <v/>
      </c>
      <c r="P110" s="15" t="str">
        <f t="shared" si="107"/>
        <v/>
      </c>
      <c r="Q110" s="15" t="str">
        <f t="shared" si="107"/>
        <v/>
      </c>
      <c r="R110" s="15" t="str">
        <f t="shared" si="107"/>
        <v/>
      </c>
      <c r="S110" s="15" t="str">
        <f t="shared" si="107"/>
        <v/>
      </c>
      <c r="T110" s="15" t="str">
        <f t="shared" si="107"/>
        <v/>
      </c>
      <c r="U110" s="15" t="str">
        <f t="shared" si="107"/>
        <v/>
      </c>
      <c r="V110" s="15" t="str">
        <f t="shared" si="107"/>
        <v/>
      </c>
      <c r="W110" s="15" t="str">
        <f t="shared" si="107"/>
        <v/>
      </c>
      <c r="X110" s="15" t="str">
        <f t="shared" si="107"/>
        <v/>
      </c>
      <c r="Y110" s="15" t="str">
        <f t="shared" si="107"/>
        <v/>
      </c>
      <c r="Z110" s="15" t="str">
        <f t="shared" si="107"/>
        <v/>
      </c>
      <c r="AA110" s="15" t="str">
        <f t="shared" si="107"/>
        <v/>
      </c>
      <c r="AB110" s="15" t="str">
        <f t="shared" si="107"/>
        <v/>
      </c>
      <c r="AC110" s="15" t="str">
        <f t="shared" si="107"/>
        <v/>
      </c>
      <c r="AD110" s="15" t="str">
        <f t="shared" si="107"/>
        <v/>
      </c>
      <c r="AE110" s="15" t="str">
        <f t="shared" si="107"/>
        <v/>
      </c>
      <c r="AF110" s="15" t="str">
        <f t="shared" si="107"/>
        <v/>
      </c>
      <c r="AG110" s="15" t="str">
        <f t="shared" si="107"/>
        <v/>
      </c>
      <c r="AH110" s="15" t="str">
        <f t="shared" si="107"/>
        <v/>
      </c>
      <c r="AI110" s="15" t="str">
        <f t="shared" si="107"/>
        <v/>
      </c>
      <c r="AJ110" s="15" t="str">
        <f t="shared" si="107"/>
        <v/>
      </c>
      <c r="AK110" s="15" t="str">
        <f t="shared" si="107"/>
        <v/>
      </c>
      <c r="AL110" s="15" t="str">
        <f t="shared" si="107"/>
        <v/>
      </c>
      <c r="AM110" s="15" t="str">
        <f t="shared" si="107"/>
        <v/>
      </c>
      <c r="AN110" s="15" t="str">
        <f t="shared" si="107"/>
        <v/>
      </c>
      <c r="AO110" s="15" t="str">
        <f t="shared" si="107"/>
        <v/>
      </c>
      <c r="AP110" s="15" t="str">
        <f t="shared" si="107"/>
        <v/>
      </c>
      <c r="AQ110" s="15" t="str">
        <f t="shared" si="107"/>
        <v/>
      </c>
      <c r="AR110" s="15" t="str">
        <f t="shared" si="107"/>
        <v/>
      </c>
      <c r="AS110" s="15" t="str">
        <f t="shared" si="107"/>
        <v/>
      </c>
      <c r="AT110" s="15" t="str">
        <f t="shared" si="107"/>
        <v/>
      </c>
      <c r="AU110" s="15" t="str">
        <f t="shared" si="107"/>
        <v/>
      </c>
      <c r="AV110" s="15" t="str">
        <f t="shared" si="107"/>
        <v/>
      </c>
      <c r="AW110" s="15" t="str">
        <f t="shared" si="107"/>
        <v/>
      </c>
      <c r="AX110" s="15" t="str">
        <f t="shared" si="107"/>
        <v/>
      </c>
      <c r="AY110" s="15" t="str">
        <f t="shared" si="107"/>
        <v/>
      </c>
    </row>
    <row r="111" ht="18.0" customHeight="1">
      <c r="A111" s="13" t="str">
        <f t="shared" si="1"/>
        <v/>
      </c>
      <c r="B111" s="13" t="str">
        <f t="shared" si="2"/>
        <v/>
      </c>
      <c r="C111" s="12" t="str">
        <f t="shared" si="3"/>
        <v/>
      </c>
      <c r="D111" s="12" t="str">
        <f t="shared" si="4"/>
        <v/>
      </c>
      <c r="E111" s="12" t="str">
        <f t="shared" si="5"/>
        <v/>
      </c>
      <c r="F111" s="12" t="str">
        <f t="shared" si="6"/>
        <v/>
      </c>
      <c r="G111" s="12" t="str">
        <f t="shared" si="7"/>
        <v/>
      </c>
      <c r="H111" s="12" t="str">
        <f t="shared" si="8"/>
        <v/>
      </c>
      <c r="I111" s="12" t="str">
        <f t="shared" si="9"/>
        <v/>
      </c>
      <c r="J111" s="12" t="str">
        <f t="shared" si="10"/>
        <v/>
      </c>
      <c r="L111" s="15" t="str">
        <f t="shared" ref="L111:AY111" si="108">IF(L$13="","",IF(AND(L$13&gt;$H110,L$13&lt;=$I110),IF(AND(MOD($B$6,2)=1,L$13=ROUNDUP($J110,0)),"0",IF(L$13=INT($H110)+1,ROUNDDOWN(ABS(L$13-$J110),0),IF(L$13=INT($I110),ROUNDUP(ABS(L$13-$J110),0),""))),""))</f>
        <v/>
      </c>
      <c r="M111" s="15" t="str">
        <f t="shared" si="108"/>
        <v/>
      </c>
      <c r="N111" s="15" t="str">
        <f t="shared" si="108"/>
        <v/>
      </c>
      <c r="O111" s="15" t="str">
        <f t="shared" si="108"/>
        <v/>
      </c>
      <c r="P111" s="15" t="str">
        <f t="shared" si="108"/>
        <v/>
      </c>
      <c r="Q111" s="15" t="str">
        <f t="shared" si="108"/>
        <v/>
      </c>
      <c r="R111" s="15" t="str">
        <f t="shared" si="108"/>
        <v/>
      </c>
      <c r="S111" s="15" t="str">
        <f t="shared" si="108"/>
        <v/>
      </c>
      <c r="T111" s="15" t="str">
        <f t="shared" si="108"/>
        <v/>
      </c>
      <c r="U111" s="15" t="str">
        <f t="shared" si="108"/>
        <v/>
      </c>
      <c r="V111" s="15" t="str">
        <f t="shared" si="108"/>
        <v/>
      </c>
      <c r="W111" s="15" t="str">
        <f t="shared" si="108"/>
        <v/>
      </c>
      <c r="X111" s="15" t="str">
        <f t="shared" si="108"/>
        <v/>
      </c>
      <c r="Y111" s="15" t="str">
        <f t="shared" si="108"/>
        <v/>
      </c>
      <c r="Z111" s="15" t="str">
        <f t="shared" si="108"/>
        <v/>
      </c>
      <c r="AA111" s="15" t="str">
        <f t="shared" si="108"/>
        <v/>
      </c>
      <c r="AB111" s="15" t="str">
        <f t="shared" si="108"/>
        <v/>
      </c>
      <c r="AC111" s="15" t="str">
        <f t="shared" si="108"/>
        <v/>
      </c>
      <c r="AD111" s="15" t="str">
        <f t="shared" si="108"/>
        <v/>
      </c>
      <c r="AE111" s="15" t="str">
        <f t="shared" si="108"/>
        <v/>
      </c>
      <c r="AF111" s="15" t="str">
        <f t="shared" si="108"/>
        <v/>
      </c>
      <c r="AG111" s="15" t="str">
        <f t="shared" si="108"/>
        <v/>
      </c>
      <c r="AH111" s="15" t="str">
        <f t="shared" si="108"/>
        <v/>
      </c>
      <c r="AI111" s="15" t="str">
        <f t="shared" si="108"/>
        <v/>
      </c>
      <c r="AJ111" s="15" t="str">
        <f t="shared" si="108"/>
        <v/>
      </c>
      <c r="AK111" s="15" t="str">
        <f t="shared" si="108"/>
        <v/>
      </c>
      <c r="AL111" s="15" t="str">
        <f t="shared" si="108"/>
        <v/>
      </c>
      <c r="AM111" s="15" t="str">
        <f t="shared" si="108"/>
        <v/>
      </c>
      <c r="AN111" s="15" t="str">
        <f t="shared" si="108"/>
        <v/>
      </c>
      <c r="AO111" s="15" t="str">
        <f t="shared" si="108"/>
        <v/>
      </c>
      <c r="AP111" s="15" t="str">
        <f t="shared" si="108"/>
        <v/>
      </c>
      <c r="AQ111" s="15" t="str">
        <f t="shared" si="108"/>
        <v/>
      </c>
      <c r="AR111" s="15" t="str">
        <f t="shared" si="108"/>
        <v/>
      </c>
      <c r="AS111" s="15" t="str">
        <f t="shared" si="108"/>
        <v/>
      </c>
      <c r="AT111" s="15" t="str">
        <f t="shared" si="108"/>
        <v/>
      </c>
      <c r="AU111" s="15" t="str">
        <f t="shared" si="108"/>
        <v/>
      </c>
      <c r="AV111" s="15" t="str">
        <f t="shared" si="108"/>
        <v/>
      </c>
      <c r="AW111" s="15" t="str">
        <f t="shared" si="108"/>
        <v/>
      </c>
      <c r="AX111" s="15" t="str">
        <f t="shared" si="108"/>
        <v/>
      </c>
      <c r="AY111" s="15" t="str">
        <f t="shared" si="108"/>
        <v/>
      </c>
    </row>
    <row r="112" ht="18.0" customHeight="1">
      <c r="A112" s="13" t="str">
        <f t="shared" si="1"/>
        <v/>
      </c>
      <c r="B112" s="13" t="str">
        <f t="shared" si="2"/>
        <v/>
      </c>
      <c r="C112" s="12" t="str">
        <f t="shared" si="3"/>
        <v/>
      </c>
      <c r="D112" s="12" t="str">
        <f t="shared" si="4"/>
        <v/>
      </c>
      <c r="E112" s="12" t="str">
        <f t="shared" si="5"/>
        <v/>
      </c>
      <c r="F112" s="12" t="str">
        <f t="shared" si="6"/>
        <v/>
      </c>
      <c r="G112" s="12" t="str">
        <f t="shared" si="7"/>
        <v/>
      </c>
      <c r="H112" s="12" t="str">
        <f t="shared" si="8"/>
        <v/>
      </c>
      <c r="I112" s="12" t="str">
        <f t="shared" si="9"/>
        <v/>
      </c>
      <c r="J112" s="12" t="str">
        <f t="shared" si="10"/>
        <v/>
      </c>
      <c r="L112" s="15" t="str">
        <f t="shared" ref="L112:AY112" si="109">IF(L$13="","",IF(AND(L$13&gt;$H111,L$13&lt;=$I111),IF(AND(MOD($B$6,2)=1,L$13=ROUNDUP($J111,0)),"0",IF(L$13=INT($H111)+1,ROUNDDOWN(ABS(L$13-$J111),0),IF(L$13=INT($I111),ROUNDUP(ABS(L$13-$J111),0),""))),""))</f>
        <v/>
      </c>
      <c r="M112" s="15" t="str">
        <f t="shared" si="109"/>
        <v/>
      </c>
      <c r="N112" s="15" t="str">
        <f t="shared" si="109"/>
        <v/>
      </c>
      <c r="O112" s="15" t="str">
        <f t="shared" si="109"/>
        <v/>
      </c>
      <c r="P112" s="15" t="str">
        <f t="shared" si="109"/>
        <v/>
      </c>
      <c r="Q112" s="15" t="str">
        <f t="shared" si="109"/>
        <v/>
      </c>
      <c r="R112" s="15" t="str">
        <f t="shared" si="109"/>
        <v/>
      </c>
      <c r="S112" s="15" t="str">
        <f t="shared" si="109"/>
        <v/>
      </c>
      <c r="T112" s="15" t="str">
        <f t="shared" si="109"/>
        <v/>
      </c>
      <c r="U112" s="15" t="str">
        <f t="shared" si="109"/>
        <v/>
      </c>
      <c r="V112" s="15" t="str">
        <f t="shared" si="109"/>
        <v/>
      </c>
      <c r="W112" s="15" t="str">
        <f t="shared" si="109"/>
        <v/>
      </c>
      <c r="X112" s="15" t="str">
        <f t="shared" si="109"/>
        <v/>
      </c>
      <c r="Y112" s="15" t="str">
        <f t="shared" si="109"/>
        <v/>
      </c>
      <c r="Z112" s="15" t="str">
        <f t="shared" si="109"/>
        <v/>
      </c>
      <c r="AA112" s="15" t="str">
        <f t="shared" si="109"/>
        <v/>
      </c>
      <c r="AB112" s="15" t="str">
        <f t="shared" si="109"/>
        <v/>
      </c>
      <c r="AC112" s="15" t="str">
        <f t="shared" si="109"/>
        <v/>
      </c>
      <c r="AD112" s="15" t="str">
        <f t="shared" si="109"/>
        <v/>
      </c>
      <c r="AE112" s="15" t="str">
        <f t="shared" si="109"/>
        <v/>
      </c>
      <c r="AF112" s="15" t="str">
        <f t="shared" si="109"/>
        <v/>
      </c>
      <c r="AG112" s="15" t="str">
        <f t="shared" si="109"/>
        <v/>
      </c>
      <c r="AH112" s="15" t="str">
        <f t="shared" si="109"/>
        <v/>
      </c>
      <c r="AI112" s="15" t="str">
        <f t="shared" si="109"/>
        <v/>
      </c>
      <c r="AJ112" s="15" t="str">
        <f t="shared" si="109"/>
        <v/>
      </c>
      <c r="AK112" s="15" t="str">
        <f t="shared" si="109"/>
        <v/>
      </c>
      <c r="AL112" s="15" t="str">
        <f t="shared" si="109"/>
        <v/>
      </c>
      <c r="AM112" s="15" t="str">
        <f t="shared" si="109"/>
        <v/>
      </c>
      <c r="AN112" s="15" t="str">
        <f t="shared" si="109"/>
        <v/>
      </c>
      <c r="AO112" s="15" t="str">
        <f t="shared" si="109"/>
        <v/>
      </c>
      <c r="AP112" s="15" t="str">
        <f t="shared" si="109"/>
        <v/>
      </c>
      <c r="AQ112" s="15" t="str">
        <f t="shared" si="109"/>
        <v/>
      </c>
      <c r="AR112" s="15" t="str">
        <f t="shared" si="109"/>
        <v/>
      </c>
      <c r="AS112" s="15" t="str">
        <f t="shared" si="109"/>
        <v/>
      </c>
      <c r="AT112" s="15" t="str">
        <f t="shared" si="109"/>
        <v/>
      </c>
      <c r="AU112" s="15" t="str">
        <f t="shared" si="109"/>
        <v/>
      </c>
      <c r="AV112" s="15" t="str">
        <f t="shared" si="109"/>
        <v/>
      </c>
      <c r="AW112" s="15" t="str">
        <f t="shared" si="109"/>
        <v/>
      </c>
      <c r="AX112" s="15" t="str">
        <f t="shared" si="109"/>
        <v/>
      </c>
      <c r="AY112" s="15" t="str">
        <f t="shared" si="109"/>
        <v/>
      </c>
    </row>
    <row r="113" ht="18.0" customHeight="1">
      <c r="A113" s="13" t="str">
        <f t="shared" si="1"/>
        <v/>
      </c>
      <c r="B113" s="13" t="str">
        <f t="shared" si="2"/>
        <v/>
      </c>
      <c r="C113" s="12" t="str">
        <f t="shared" si="3"/>
        <v/>
      </c>
      <c r="D113" s="12" t="str">
        <f t="shared" si="4"/>
        <v/>
      </c>
      <c r="E113" s="12" t="str">
        <f t="shared" si="5"/>
        <v/>
      </c>
      <c r="F113" s="12" t="str">
        <f t="shared" si="6"/>
        <v/>
      </c>
      <c r="G113" s="12" t="str">
        <f t="shared" si="7"/>
        <v/>
      </c>
      <c r="H113" s="12" t="str">
        <f t="shared" si="8"/>
        <v/>
      </c>
      <c r="I113" s="12" t="str">
        <f t="shared" si="9"/>
        <v/>
      </c>
      <c r="J113" s="12" t="str">
        <f t="shared" si="10"/>
        <v/>
      </c>
      <c r="L113" s="15" t="str">
        <f t="shared" ref="L113:AY113" si="110">IF(L$13="","",IF(AND(L$13&gt;$H112,L$13&lt;=$I112),IF(AND(MOD($B$6,2)=1,L$13=ROUNDUP($J112,0)),"0",IF(L$13=INT($H112)+1,ROUNDDOWN(ABS(L$13-$J112),0),IF(L$13=INT($I112),ROUNDUP(ABS(L$13-$J112),0),""))),""))</f>
        <v/>
      </c>
      <c r="M113" s="15" t="str">
        <f t="shared" si="110"/>
        <v/>
      </c>
      <c r="N113" s="15" t="str">
        <f t="shared" si="110"/>
        <v/>
      </c>
      <c r="O113" s="15" t="str">
        <f t="shared" si="110"/>
        <v/>
      </c>
      <c r="P113" s="15" t="str">
        <f t="shared" si="110"/>
        <v/>
      </c>
      <c r="Q113" s="15" t="str">
        <f t="shared" si="110"/>
        <v/>
      </c>
      <c r="R113" s="15" t="str">
        <f t="shared" si="110"/>
        <v/>
      </c>
      <c r="S113" s="15" t="str">
        <f t="shared" si="110"/>
        <v/>
      </c>
      <c r="T113" s="15" t="str">
        <f t="shared" si="110"/>
        <v/>
      </c>
      <c r="U113" s="15" t="str">
        <f t="shared" si="110"/>
        <v/>
      </c>
      <c r="V113" s="15" t="str">
        <f t="shared" si="110"/>
        <v/>
      </c>
      <c r="W113" s="15" t="str">
        <f t="shared" si="110"/>
        <v/>
      </c>
      <c r="X113" s="15" t="str">
        <f t="shared" si="110"/>
        <v/>
      </c>
      <c r="Y113" s="15" t="str">
        <f t="shared" si="110"/>
        <v/>
      </c>
      <c r="Z113" s="15" t="str">
        <f t="shared" si="110"/>
        <v/>
      </c>
      <c r="AA113" s="15" t="str">
        <f t="shared" si="110"/>
        <v/>
      </c>
      <c r="AB113" s="15" t="str">
        <f t="shared" si="110"/>
        <v/>
      </c>
      <c r="AC113" s="15" t="str">
        <f t="shared" si="110"/>
        <v/>
      </c>
      <c r="AD113" s="15" t="str">
        <f t="shared" si="110"/>
        <v/>
      </c>
      <c r="AE113" s="15" t="str">
        <f t="shared" si="110"/>
        <v/>
      </c>
      <c r="AF113" s="15" t="str">
        <f t="shared" si="110"/>
        <v/>
      </c>
      <c r="AG113" s="15" t="str">
        <f t="shared" si="110"/>
        <v/>
      </c>
      <c r="AH113" s="15" t="str">
        <f t="shared" si="110"/>
        <v/>
      </c>
      <c r="AI113" s="15" t="str">
        <f t="shared" si="110"/>
        <v/>
      </c>
      <c r="AJ113" s="15" t="str">
        <f t="shared" si="110"/>
        <v/>
      </c>
      <c r="AK113" s="15" t="str">
        <f t="shared" si="110"/>
        <v/>
      </c>
      <c r="AL113" s="15" t="str">
        <f t="shared" si="110"/>
        <v/>
      </c>
      <c r="AM113" s="15" t="str">
        <f t="shared" si="110"/>
        <v/>
      </c>
      <c r="AN113" s="15" t="str">
        <f t="shared" si="110"/>
        <v/>
      </c>
      <c r="AO113" s="15" t="str">
        <f t="shared" si="110"/>
        <v/>
      </c>
      <c r="AP113" s="15" t="str">
        <f t="shared" si="110"/>
        <v/>
      </c>
      <c r="AQ113" s="15" t="str">
        <f t="shared" si="110"/>
        <v/>
      </c>
      <c r="AR113" s="15" t="str">
        <f t="shared" si="110"/>
        <v/>
      </c>
      <c r="AS113" s="15" t="str">
        <f t="shared" si="110"/>
        <v/>
      </c>
      <c r="AT113" s="15" t="str">
        <f t="shared" si="110"/>
        <v/>
      </c>
      <c r="AU113" s="15" t="str">
        <f t="shared" si="110"/>
        <v/>
      </c>
      <c r="AV113" s="15" t="str">
        <f t="shared" si="110"/>
        <v/>
      </c>
      <c r="AW113" s="15" t="str">
        <f t="shared" si="110"/>
        <v/>
      </c>
      <c r="AX113" s="15" t="str">
        <f t="shared" si="110"/>
        <v/>
      </c>
      <c r="AY113" s="15" t="str">
        <f t="shared" si="110"/>
        <v/>
      </c>
    </row>
    <row r="114" ht="18.0" customHeight="1">
      <c r="A114" s="13" t="str">
        <f t="shared" si="1"/>
        <v/>
      </c>
      <c r="B114" s="13" t="str">
        <f t="shared" si="2"/>
        <v/>
      </c>
      <c r="C114" s="12" t="str">
        <f t="shared" si="3"/>
        <v/>
      </c>
      <c r="D114" s="12" t="str">
        <f t="shared" si="4"/>
        <v/>
      </c>
      <c r="E114" s="12" t="str">
        <f t="shared" si="5"/>
        <v/>
      </c>
      <c r="F114" s="12" t="str">
        <f t="shared" si="6"/>
        <v/>
      </c>
      <c r="G114" s="12" t="str">
        <f t="shared" si="7"/>
        <v/>
      </c>
      <c r="H114" s="12" t="str">
        <f t="shared" si="8"/>
        <v/>
      </c>
      <c r="I114" s="12" t="str">
        <f t="shared" si="9"/>
        <v/>
      </c>
      <c r="J114" s="12" t="str">
        <f t="shared" si="10"/>
        <v/>
      </c>
      <c r="L114" s="15" t="str">
        <f t="shared" ref="L114:AY114" si="111">IF(L$13="","",IF(AND(L$13&gt;$H113,L$13&lt;=$I113),IF(AND(MOD($B$6,2)=1,L$13=ROUNDUP($J113,0)),"0",IF(L$13=INT($H113)+1,ROUNDDOWN(ABS(L$13-$J113),0),IF(L$13=INT($I113),ROUNDUP(ABS(L$13-$J113),0),""))),""))</f>
        <v/>
      </c>
      <c r="M114" s="15" t="str">
        <f t="shared" si="111"/>
        <v/>
      </c>
      <c r="N114" s="15" t="str">
        <f t="shared" si="111"/>
        <v/>
      </c>
      <c r="O114" s="15" t="str">
        <f t="shared" si="111"/>
        <v/>
      </c>
      <c r="P114" s="15" t="str">
        <f t="shared" si="111"/>
        <v/>
      </c>
      <c r="Q114" s="15" t="str">
        <f t="shared" si="111"/>
        <v/>
      </c>
      <c r="R114" s="15" t="str">
        <f t="shared" si="111"/>
        <v/>
      </c>
      <c r="S114" s="15" t="str">
        <f t="shared" si="111"/>
        <v/>
      </c>
      <c r="T114" s="15" t="str">
        <f t="shared" si="111"/>
        <v/>
      </c>
      <c r="U114" s="15" t="str">
        <f t="shared" si="111"/>
        <v/>
      </c>
      <c r="V114" s="15" t="str">
        <f t="shared" si="111"/>
        <v/>
      </c>
      <c r="W114" s="15" t="str">
        <f t="shared" si="111"/>
        <v/>
      </c>
      <c r="X114" s="15" t="str">
        <f t="shared" si="111"/>
        <v/>
      </c>
      <c r="Y114" s="15" t="str">
        <f t="shared" si="111"/>
        <v/>
      </c>
      <c r="Z114" s="15" t="str">
        <f t="shared" si="111"/>
        <v/>
      </c>
      <c r="AA114" s="15" t="str">
        <f t="shared" si="111"/>
        <v/>
      </c>
      <c r="AB114" s="15" t="str">
        <f t="shared" si="111"/>
        <v/>
      </c>
      <c r="AC114" s="15" t="str">
        <f t="shared" si="111"/>
        <v/>
      </c>
      <c r="AD114" s="15" t="str">
        <f t="shared" si="111"/>
        <v/>
      </c>
      <c r="AE114" s="15" t="str">
        <f t="shared" si="111"/>
        <v/>
      </c>
      <c r="AF114" s="15" t="str">
        <f t="shared" si="111"/>
        <v/>
      </c>
      <c r="AG114" s="15" t="str">
        <f t="shared" si="111"/>
        <v/>
      </c>
      <c r="AH114" s="15" t="str">
        <f t="shared" si="111"/>
        <v/>
      </c>
      <c r="AI114" s="15" t="str">
        <f t="shared" si="111"/>
        <v/>
      </c>
      <c r="AJ114" s="15" t="str">
        <f t="shared" si="111"/>
        <v/>
      </c>
      <c r="AK114" s="15" t="str">
        <f t="shared" si="111"/>
        <v/>
      </c>
      <c r="AL114" s="15" t="str">
        <f t="shared" si="111"/>
        <v/>
      </c>
      <c r="AM114" s="15" t="str">
        <f t="shared" si="111"/>
        <v/>
      </c>
      <c r="AN114" s="15" t="str">
        <f t="shared" si="111"/>
        <v/>
      </c>
      <c r="AO114" s="15" t="str">
        <f t="shared" si="111"/>
        <v/>
      </c>
      <c r="AP114" s="15" t="str">
        <f t="shared" si="111"/>
        <v/>
      </c>
      <c r="AQ114" s="15" t="str">
        <f t="shared" si="111"/>
        <v/>
      </c>
      <c r="AR114" s="15" t="str">
        <f t="shared" si="111"/>
        <v/>
      </c>
      <c r="AS114" s="15" t="str">
        <f t="shared" si="111"/>
        <v/>
      </c>
      <c r="AT114" s="15" t="str">
        <f t="shared" si="111"/>
        <v/>
      </c>
      <c r="AU114" s="15" t="str">
        <f t="shared" si="111"/>
        <v/>
      </c>
      <c r="AV114" s="15" t="str">
        <f t="shared" si="111"/>
        <v/>
      </c>
      <c r="AW114" s="15" t="str">
        <f t="shared" si="111"/>
        <v/>
      </c>
      <c r="AX114" s="15" t="str">
        <f t="shared" si="111"/>
        <v/>
      </c>
      <c r="AY114" s="15" t="str">
        <f t="shared" si="111"/>
        <v/>
      </c>
    </row>
    <row r="115" ht="18.0" customHeight="1">
      <c r="A115" s="13" t="str">
        <f t="shared" si="1"/>
        <v/>
      </c>
      <c r="B115" s="13" t="str">
        <f t="shared" si="2"/>
        <v/>
      </c>
      <c r="C115" s="12" t="str">
        <f t="shared" si="3"/>
        <v/>
      </c>
      <c r="D115" s="12" t="str">
        <f t="shared" si="4"/>
        <v/>
      </c>
      <c r="E115" s="12" t="str">
        <f t="shared" si="5"/>
        <v/>
      </c>
      <c r="F115" s="12" t="str">
        <f t="shared" si="6"/>
        <v/>
      </c>
      <c r="G115" s="12" t="str">
        <f t="shared" si="7"/>
        <v/>
      </c>
      <c r="H115" s="12" t="str">
        <f t="shared" si="8"/>
        <v/>
      </c>
      <c r="I115" s="12" t="str">
        <f t="shared" si="9"/>
        <v/>
      </c>
      <c r="J115" s="12" t="str">
        <f t="shared" si="10"/>
        <v/>
      </c>
      <c r="L115" s="15" t="str">
        <f t="shared" ref="L115:AY115" si="112">IF(L$13="","",IF(AND(L$13&gt;$H114,L$13&lt;=$I114),IF(AND(MOD($B$6,2)=1,L$13=ROUNDUP($J114,0)),"0",IF(L$13=INT($H114)+1,ROUNDDOWN(ABS(L$13-$J114),0),IF(L$13=INT($I114),ROUNDUP(ABS(L$13-$J114),0),""))),""))</f>
        <v/>
      </c>
      <c r="M115" s="15" t="str">
        <f t="shared" si="112"/>
        <v/>
      </c>
      <c r="N115" s="15" t="str">
        <f t="shared" si="112"/>
        <v/>
      </c>
      <c r="O115" s="15" t="str">
        <f t="shared" si="112"/>
        <v/>
      </c>
      <c r="P115" s="15" t="str">
        <f t="shared" si="112"/>
        <v/>
      </c>
      <c r="Q115" s="15" t="str">
        <f t="shared" si="112"/>
        <v/>
      </c>
      <c r="R115" s="15" t="str">
        <f t="shared" si="112"/>
        <v/>
      </c>
      <c r="S115" s="15" t="str">
        <f t="shared" si="112"/>
        <v/>
      </c>
      <c r="T115" s="15" t="str">
        <f t="shared" si="112"/>
        <v/>
      </c>
      <c r="U115" s="15" t="str">
        <f t="shared" si="112"/>
        <v/>
      </c>
      <c r="V115" s="15" t="str">
        <f t="shared" si="112"/>
        <v/>
      </c>
      <c r="W115" s="15" t="str">
        <f t="shared" si="112"/>
        <v/>
      </c>
      <c r="X115" s="15" t="str">
        <f t="shared" si="112"/>
        <v/>
      </c>
      <c r="Y115" s="15" t="str">
        <f t="shared" si="112"/>
        <v/>
      </c>
      <c r="Z115" s="15" t="str">
        <f t="shared" si="112"/>
        <v/>
      </c>
      <c r="AA115" s="15" t="str">
        <f t="shared" si="112"/>
        <v/>
      </c>
      <c r="AB115" s="15" t="str">
        <f t="shared" si="112"/>
        <v/>
      </c>
      <c r="AC115" s="15" t="str">
        <f t="shared" si="112"/>
        <v/>
      </c>
      <c r="AD115" s="15" t="str">
        <f t="shared" si="112"/>
        <v/>
      </c>
      <c r="AE115" s="15" t="str">
        <f t="shared" si="112"/>
        <v/>
      </c>
      <c r="AF115" s="15" t="str">
        <f t="shared" si="112"/>
        <v/>
      </c>
      <c r="AG115" s="15" t="str">
        <f t="shared" si="112"/>
        <v/>
      </c>
      <c r="AH115" s="15" t="str">
        <f t="shared" si="112"/>
        <v/>
      </c>
      <c r="AI115" s="15" t="str">
        <f t="shared" si="112"/>
        <v/>
      </c>
      <c r="AJ115" s="15" t="str">
        <f t="shared" si="112"/>
        <v/>
      </c>
      <c r="AK115" s="15" t="str">
        <f t="shared" si="112"/>
        <v/>
      </c>
      <c r="AL115" s="15" t="str">
        <f t="shared" si="112"/>
        <v/>
      </c>
      <c r="AM115" s="15" t="str">
        <f t="shared" si="112"/>
        <v/>
      </c>
      <c r="AN115" s="15" t="str">
        <f t="shared" si="112"/>
        <v/>
      </c>
      <c r="AO115" s="15" t="str">
        <f t="shared" si="112"/>
        <v/>
      </c>
      <c r="AP115" s="15" t="str">
        <f t="shared" si="112"/>
        <v/>
      </c>
      <c r="AQ115" s="15" t="str">
        <f t="shared" si="112"/>
        <v/>
      </c>
      <c r="AR115" s="15" t="str">
        <f t="shared" si="112"/>
        <v/>
      </c>
      <c r="AS115" s="15" t="str">
        <f t="shared" si="112"/>
        <v/>
      </c>
      <c r="AT115" s="15" t="str">
        <f t="shared" si="112"/>
        <v/>
      </c>
      <c r="AU115" s="15" t="str">
        <f t="shared" si="112"/>
        <v/>
      </c>
      <c r="AV115" s="15" t="str">
        <f t="shared" si="112"/>
        <v/>
      </c>
      <c r="AW115" s="15" t="str">
        <f t="shared" si="112"/>
        <v/>
      </c>
      <c r="AX115" s="15" t="str">
        <f t="shared" si="112"/>
        <v/>
      </c>
      <c r="AY115" s="15" t="str">
        <f t="shared" si="112"/>
        <v/>
      </c>
    </row>
    <row r="116" ht="18.0" customHeight="1">
      <c r="A116" s="13" t="str">
        <f t="shared" si="1"/>
        <v/>
      </c>
      <c r="B116" s="13" t="str">
        <f t="shared" si="2"/>
        <v/>
      </c>
      <c r="C116" s="12" t="str">
        <f t="shared" si="3"/>
        <v/>
      </c>
      <c r="D116" s="12" t="str">
        <f t="shared" si="4"/>
        <v/>
      </c>
      <c r="E116" s="12" t="str">
        <f t="shared" si="5"/>
        <v/>
      </c>
      <c r="F116" s="12" t="str">
        <f t="shared" si="6"/>
        <v/>
      </c>
      <c r="G116" s="12" t="str">
        <f t="shared" si="7"/>
        <v/>
      </c>
      <c r="H116" s="12" t="str">
        <f t="shared" si="8"/>
        <v/>
      </c>
      <c r="I116" s="12" t="str">
        <f t="shared" si="9"/>
        <v/>
      </c>
      <c r="J116" s="12" t="str">
        <f t="shared" si="10"/>
        <v/>
      </c>
      <c r="L116" s="15" t="str">
        <f t="shared" ref="L116:AY116" si="113">IF(L$13="","",IF(AND(L$13&gt;$H115,L$13&lt;=$I115),IF(AND(MOD($B$6,2)=1,L$13=ROUNDUP($J115,0)),"0",IF(L$13=INT($H115)+1,ROUNDDOWN(ABS(L$13-$J115),0),IF(L$13=INT($I115),ROUNDUP(ABS(L$13-$J115),0),""))),""))</f>
        <v/>
      </c>
      <c r="M116" s="15" t="str">
        <f t="shared" si="113"/>
        <v/>
      </c>
      <c r="N116" s="15" t="str">
        <f t="shared" si="113"/>
        <v/>
      </c>
      <c r="O116" s="15" t="str">
        <f t="shared" si="113"/>
        <v/>
      </c>
      <c r="P116" s="15" t="str">
        <f t="shared" si="113"/>
        <v/>
      </c>
      <c r="Q116" s="15" t="str">
        <f t="shared" si="113"/>
        <v/>
      </c>
      <c r="R116" s="15" t="str">
        <f t="shared" si="113"/>
        <v/>
      </c>
      <c r="S116" s="15" t="str">
        <f t="shared" si="113"/>
        <v/>
      </c>
      <c r="T116" s="15" t="str">
        <f t="shared" si="113"/>
        <v/>
      </c>
      <c r="U116" s="15" t="str">
        <f t="shared" si="113"/>
        <v/>
      </c>
      <c r="V116" s="15" t="str">
        <f t="shared" si="113"/>
        <v/>
      </c>
      <c r="W116" s="15" t="str">
        <f t="shared" si="113"/>
        <v/>
      </c>
      <c r="X116" s="15" t="str">
        <f t="shared" si="113"/>
        <v/>
      </c>
      <c r="Y116" s="15" t="str">
        <f t="shared" si="113"/>
        <v/>
      </c>
      <c r="Z116" s="15" t="str">
        <f t="shared" si="113"/>
        <v/>
      </c>
      <c r="AA116" s="15" t="str">
        <f t="shared" si="113"/>
        <v/>
      </c>
      <c r="AB116" s="15" t="str">
        <f t="shared" si="113"/>
        <v/>
      </c>
      <c r="AC116" s="15" t="str">
        <f t="shared" si="113"/>
        <v/>
      </c>
      <c r="AD116" s="15" t="str">
        <f t="shared" si="113"/>
        <v/>
      </c>
      <c r="AE116" s="15" t="str">
        <f t="shared" si="113"/>
        <v/>
      </c>
      <c r="AF116" s="15" t="str">
        <f t="shared" si="113"/>
        <v/>
      </c>
      <c r="AG116" s="15" t="str">
        <f t="shared" si="113"/>
        <v/>
      </c>
      <c r="AH116" s="15" t="str">
        <f t="shared" si="113"/>
        <v/>
      </c>
      <c r="AI116" s="15" t="str">
        <f t="shared" si="113"/>
        <v/>
      </c>
      <c r="AJ116" s="15" t="str">
        <f t="shared" si="113"/>
        <v/>
      </c>
      <c r="AK116" s="15" t="str">
        <f t="shared" si="113"/>
        <v/>
      </c>
      <c r="AL116" s="15" t="str">
        <f t="shared" si="113"/>
        <v/>
      </c>
      <c r="AM116" s="15" t="str">
        <f t="shared" si="113"/>
        <v/>
      </c>
      <c r="AN116" s="15" t="str">
        <f t="shared" si="113"/>
        <v/>
      </c>
      <c r="AO116" s="15" t="str">
        <f t="shared" si="113"/>
        <v/>
      </c>
      <c r="AP116" s="15" t="str">
        <f t="shared" si="113"/>
        <v/>
      </c>
      <c r="AQ116" s="15" t="str">
        <f t="shared" si="113"/>
        <v/>
      </c>
      <c r="AR116" s="15" t="str">
        <f t="shared" si="113"/>
        <v/>
      </c>
      <c r="AS116" s="15" t="str">
        <f t="shared" si="113"/>
        <v/>
      </c>
      <c r="AT116" s="15" t="str">
        <f t="shared" si="113"/>
        <v/>
      </c>
      <c r="AU116" s="15" t="str">
        <f t="shared" si="113"/>
        <v/>
      </c>
      <c r="AV116" s="15" t="str">
        <f t="shared" si="113"/>
        <v/>
      </c>
      <c r="AW116" s="15" t="str">
        <f t="shared" si="113"/>
        <v/>
      </c>
      <c r="AX116" s="15" t="str">
        <f t="shared" si="113"/>
        <v/>
      </c>
      <c r="AY116" s="15" t="str">
        <f t="shared" si="113"/>
        <v/>
      </c>
    </row>
    <row r="117" ht="18.0" customHeight="1">
      <c r="A117" s="13" t="str">
        <f t="shared" si="1"/>
        <v/>
      </c>
      <c r="B117" s="13" t="str">
        <f t="shared" si="2"/>
        <v/>
      </c>
      <c r="C117" s="12" t="str">
        <f t="shared" si="3"/>
        <v/>
      </c>
      <c r="D117" s="12" t="str">
        <f t="shared" si="4"/>
        <v/>
      </c>
      <c r="E117" s="12" t="str">
        <f t="shared" si="5"/>
        <v/>
      </c>
      <c r="F117" s="12" t="str">
        <f t="shared" si="6"/>
        <v/>
      </c>
      <c r="G117" s="12" t="str">
        <f t="shared" si="7"/>
        <v/>
      </c>
      <c r="H117" s="12" t="str">
        <f t="shared" si="8"/>
        <v/>
      </c>
      <c r="I117" s="12" t="str">
        <f t="shared" si="9"/>
        <v/>
      </c>
      <c r="J117" s="12" t="str">
        <f t="shared" si="10"/>
        <v/>
      </c>
      <c r="L117" s="15" t="str">
        <f t="shared" ref="L117:AY117" si="114">IF(L$13="","",IF(AND(L$13&gt;$H116,L$13&lt;=$I116),IF(AND(MOD($B$6,2)=1,L$13=ROUNDUP($J116,0)),"0",IF(L$13=INT($H116)+1,ROUNDDOWN(ABS(L$13-$J116),0),IF(L$13=INT($I116),ROUNDUP(ABS(L$13-$J116),0),""))),""))</f>
        <v/>
      </c>
      <c r="M117" s="15" t="str">
        <f t="shared" si="114"/>
        <v/>
      </c>
      <c r="N117" s="15" t="str">
        <f t="shared" si="114"/>
        <v/>
      </c>
      <c r="O117" s="15" t="str">
        <f t="shared" si="114"/>
        <v/>
      </c>
      <c r="P117" s="15" t="str">
        <f t="shared" si="114"/>
        <v/>
      </c>
      <c r="Q117" s="15" t="str">
        <f t="shared" si="114"/>
        <v/>
      </c>
      <c r="R117" s="15" t="str">
        <f t="shared" si="114"/>
        <v/>
      </c>
      <c r="S117" s="15" t="str">
        <f t="shared" si="114"/>
        <v/>
      </c>
      <c r="T117" s="15" t="str">
        <f t="shared" si="114"/>
        <v/>
      </c>
      <c r="U117" s="15" t="str">
        <f t="shared" si="114"/>
        <v/>
      </c>
      <c r="V117" s="15" t="str">
        <f t="shared" si="114"/>
        <v/>
      </c>
      <c r="W117" s="15" t="str">
        <f t="shared" si="114"/>
        <v/>
      </c>
      <c r="X117" s="15" t="str">
        <f t="shared" si="114"/>
        <v/>
      </c>
      <c r="Y117" s="15" t="str">
        <f t="shared" si="114"/>
        <v/>
      </c>
      <c r="Z117" s="15" t="str">
        <f t="shared" si="114"/>
        <v/>
      </c>
      <c r="AA117" s="15" t="str">
        <f t="shared" si="114"/>
        <v/>
      </c>
      <c r="AB117" s="15" t="str">
        <f t="shared" si="114"/>
        <v/>
      </c>
      <c r="AC117" s="15" t="str">
        <f t="shared" si="114"/>
        <v/>
      </c>
      <c r="AD117" s="15" t="str">
        <f t="shared" si="114"/>
        <v/>
      </c>
      <c r="AE117" s="15" t="str">
        <f t="shared" si="114"/>
        <v/>
      </c>
      <c r="AF117" s="15" t="str">
        <f t="shared" si="114"/>
        <v/>
      </c>
      <c r="AG117" s="15" t="str">
        <f t="shared" si="114"/>
        <v/>
      </c>
      <c r="AH117" s="15" t="str">
        <f t="shared" si="114"/>
        <v/>
      </c>
      <c r="AI117" s="15" t="str">
        <f t="shared" si="114"/>
        <v/>
      </c>
      <c r="AJ117" s="15" t="str">
        <f t="shared" si="114"/>
        <v/>
      </c>
      <c r="AK117" s="15" t="str">
        <f t="shared" si="114"/>
        <v/>
      </c>
      <c r="AL117" s="15" t="str">
        <f t="shared" si="114"/>
        <v/>
      </c>
      <c r="AM117" s="15" t="str">
        <f t="shared" si="114"/>
        <v/>
      </c>
      <c r="AN117" s="15" t="str">
        <f t="shared" si="114"/>
        <v/>
      </c>
      <c r="AO117" s="15" t="str">
        <f t="shared" si="114"/>
        <v/>
      </c>
      <c r="AP117" s="15" t="str">
        <f t="shared" si="114"/>
        <v/>
      </c>
      <c r="AQ117" s="15" t="str">
        <f t="shared" si="114"/>
        <v/>
      </c>
      <c r="AR117" s="15" t="str">
        <f t="shared" si="114"/>
        <v/>
      </c>
      <c r="AS117" s="15" t="str">
        <f t="shared" si="114"/>
        <v/>
      </c>
      <c r="AT117" s="15" t="str">
        <f t="shared" si="114"/>
        <v/>
      </c>
      <c r="AU117" s="15" t="str">
        <f t="shared" si="114"/>
        <v/>
      </c>
      <c r="AV117" s="15" t="str">
        <f t="shared" si="114"/>
        <v/>
      </c>
      <c r="AW117" s="15" t="str">
        <f t="shared" si="114"/>
        <v/>
      </c>
      <c r="AX117" s="15" t="str">
        <f t="shared" si="114"/>
        <v/>
      </c>
      <c r="AY117" s="15" t="str">
        <f t="shared" si="114"/>
        <v/>
      </c>
    </row>
    <row r="118" ht="18.0" customHeight="1">
      <c r="A118" s="13" t="str">
        <f t="shared" si="1"/>
        <v/>
      </c>
      <c r="B118" s="13" t="str">
        <f t="shared" si="2"/>
        <v/>
      </c>
      <c r="C118" s="12" t="str">
        <f t="shared" si="3"/>
        <v/>
      </c>
      <c r="D118" s="12" t="str">
        <f t="shared" si="4"/>
        <v/>
      </c>
      <c r="E118" s="12" t="str">
        <f t="shared" si="5"/>
        <v/>
      </c>
      <c r="F118" s="12" t="str">
        <f t="shared" si="6"/>
        <v/>
      </c>
      <c r="G118" s="12" t="str">
        <f t="shared" si="7"/>
        <v/>
      </c>
      <c r="H118" s="12" t="str">
        <f t="shared" si="8"/>
        <v/>
      </c>
      <c r="I118" s="12" t="str">
        <f t="shared" si="9"/>
        <v/>
      </c>
      <c r="J118" s="12" t="str">
        <f t="shared" si="10"/>
        <v/>
      </c>
      <c r="L118" s="15" t="str">
        <f t="shared" ref="L118:AY118" si="115">IF(L$13="","",IF(AND(L$13&gt;$H117,L$13&lt;=$I117),IF(AND(MOD($B$6,2)=1,L$13=ROUNDUP($J117,0)),"0",IF(L$13=INT($H117)+1,ROUNDDOWN(ABS(L$13-$J117),0),IF(L$13=INT($I117),ROUNDUP(ABS(L$13-$J117),0),""))),""))</f>
        <v/>
      </c>
      <c r="M118" s="15" t="str">
        <f t="shared" si="115"/>
        <v/>
      </c>
      <c r="N118" s="15" t="str">
        <f t="shared" si="115"/>
        <v/>
      </c>
      <c r="O118" s="15" t="str">
        <f t="shared" si="115"/>
        <v/>
      </c>
      <c r="P118" s="15" t="str">
        <f t="shared" si="115"/>
        <v/>
      </c>
      <c r="Q118" s="15" t="str">
        <f t="shared" si="115"/>
        <v/>
      </c>
      <c r="R118" s="15" t="str">
        <f t="shared" si="115"/>
        <v/>
      </c>
      <c r="S118" s="15" t="str">
        <f t="shared" si="115"/>
        <v/>
      </c>
      <c r="T118" s="15" t="str">
        <f t="shared" si="115"/>
        <v/>
      </c>
      <c r="U118" s="15" t="str">
        <f t="shared" si="115"/>
        <v/>
      </c>
      <c r="V118" s="15" t="str">
        <f t="shared" si="115"/>
        <v/>
      </c>
      <c r="W118" s="15" t="str">
        <f t="shared" si="115"/>
        <v/>
      </c>
      <c r="X118" s="15" t="str">
        <f t="shared" si="115"/>
        <v/>
      </c>
      <c r="Y118" s="15" t="str">
        <f t="shared" si="115"/>
        <v/>
      </c>
      <c r="Z118" s="15" t="str">
        <f t="shared" si="115"/>
        <v/>
      </c>
      <c r="AA118" s="15" t="str">
        <f t="shared" si="115"/>
        <v/>
      </c>
      <c r="AB118" s="15" t="str">
        <f t="shared" si="115"/>
        <v/>
      </c>
      <c r="AC118" s="15" t="str">
        <f t="shared" si="115"/>
        <v/>
      </c>
      <c r="AD118" s="15" t="str">
        <f t="shared" si="115"/>
        <v/>
      </c>
      <c r="AE118" s="15" t="str">
        <f t="shared" si="115"/>
        <v/>
      </c>
      <c r="AF118" s="15" t="str">
        <f t="shared" si="115"/>
        <v/>
      </c>
      <c r="AG118" s="15" t="str">
        <f t="shared" si="115"/>
        <v/>
      </c>
      <c r="AH118" s="15" t="str">
        <f t="shared" si="115"/>
        <v/>
      </c>
      <c r="AI118" s="15" t="str">
        <f t="shared" si="115"/>
        <v/>
      </c>
      <c r="AJ118" s="15" t="str">
        <f t="shared" si="115"/>
        <v/>
      </c>
      <c r="AK118" s="15" t="str">
        <f t="shared" si="115"/>
        <v/>
      </c>
      <c r="AL118" s="15" t="str">
        <f t="shared" si="115"/>
        <v/>
      </c>
      <c r="AM118" s="15" t="str">
        <f t="shared" si="115"/>
        <v/>
      </c>
      <c r="AN118" s="15" t="str">
        <f t="shared" si="115"/>
        <v/>
      </c>
      <c r="AO118" s="15" t="str">
        <f t="shared" si="115"/>
        <v/>
      </c>
      <c r="AP118" s="15" t="str">
        <f t="shared" si="115"/>
        <v/>
      </c>
      <c r="AQ118" s="15" t="str">
        <f t="shared" si="115"/>
        <v/>
      </c>
      <c r="AR118" s="15" t="str">
        <f t="shared" si="115"/>
        <v/>
      </c>
      <c r="AS118" s="15" t="str">
        <f t="shared" si="115"/>
        <v/>
      </c>
      <c r="AT118" s="15" t="str">
        <f t="shared" si="115"/>
        <v/>
      </c>
      <c r="AU118" s="15" t="str">
        <f t="shared" si="115"/>
        <v/>
      </c>
      <c r="AV118" s="15" t="str">
        <f t="shared" si="115"/>
        <v/>
      </c>
      <c r="AW118" s="15" t="str">
        <f t="shared" si="115"/>
        <v/>
      </c>
      <c r="AX118" s="15" t="str">
        <f t="shared" si="115"/>
        <v/>
      </c>
      <c r="AY118" s="15" t="str">
        <f t="shared" si="115"/>
        <v/>
      </c>
    </row>
    <row r="119" ht="18.0" customHeight="1">
      <c r="A119" s="13" t="str">
        <f t="shared" si="1"/>
        <v/>
      </c>
      <c r="B119" s="13" t="str">
        <f t="shared" si="2"/>
        <v/>
      </c>
      <c r="C119" s="12" t="str">
        <f t="shared" si="3"/>
        <v/>
      </c>
      <c r="D119" s="12" t="str">
        <f t="shared" si="4"/>
        <v/>
      </c>
      <c r="E119" s="12" t="str">
        <f t="shared" si="5"/>
        <v/>
      </c>
      <c r="F119" s="12" t="str">
        <f t="shared" si="6"/>
        <v/>
      </c>
      <c r="G119" s="12" t="str">
        <f t="shared" si="7"/>
        <v/>
      </c>
      <c r="H119" s="12" t="str">
        <f t="shared" si="8"/>
        <v/>
      </c>
      <c r="I119" s="12" t="str">
        <f t="shared" si="9"/>
        <v/>
      </c>
      <c r="J119" s="12" t="str">
        <f t="shared" si="10"/>
        <v/>
      </c>
      <c r="L119" s="15" t="str">
        <f t="shared" ref="L119:AY119" si="116">IF(L$13="","",IF(AND(L$13&gt;$H118,L$13&lt;=$I118),IF(AND(MOD($B$6,2)=1,L$13=ROUNDUP($J118,0)),"0",IF(L$13=INT($H118)+1,ROUNDDOWN(ABS(L$13-$J118),0),IF(L$13=INT($I118),ROUNDUP(ABS(L$13-$J118),0),""))),""))</f>
        <v/>
      </c>
      <c r="M119" s="15" t="str">
        <f t="shared" si="116"/>
        <v/>
      </c>
      <c r="N119" s="15" t="str">
        <f t="shared" si="116"/>
        <v/>
      </c>
      <c r="O119" s="15" t="str">
        <f t="shared" si="116"/>
        <v/>
      </c>
      <c r="P119" s="15" t="str">
        <f t="shared" si="116"/>
        <v/>
      </c>
      <c r="Q119" s="15" t="str">
        <f t="shared" si="116"/>
        <v/>
      </c>
      <c r="R119" s="15" t="str">
        <f t="shared" si="116"/>
        <v/>
      </c>
      <c r="S119" s="15" t="str">
        <f t="shared" si="116"/>
        <v/>
      </c>
      <c r="T119" s="15" t="str">
        <f t="shared" si="116"/>
        <v/>
      </c>
      <c r="U119" s="15" t="str">
        <f t="shared" si="116"/>
        <v/>
      </c>
      <c r="V119" s="15" t="str">
        <f t="shared" si="116"/>
        <v/>
      </c>
      <c r="W119" s="15" t="str">
        <f t="shared" si="116"/>
        <v/>
      </c>
      <c r="X119" s="15" t="str">
        <f t="shared" si="116"/>
        <v/>
      </c>
      <c r="Y119" s="15" t="str">
        <f t="shared" si="116"/>
        <v/>
      </c>
      <c r="Z119" s="15" t="str">
        <f t="shared" si="116"/>
        <v/>
      </c>
      <c r="AA119" s="15" t="str">
        <f t="shared" si="116"/>
        <v/>
      </c>
      <c r="AB119" s="15" t="str">
        <f t="shared" si="116"/>
        <v/>
      </c>
      <c r="AC119" s="15" t="str">
        <f t="shared" si="116"/>
        <v/>
      </c>
      <c r="AD119" s="15" t="str">
        <f t="shared" si="116"/>
        <v/>
      </c>
      <c r="AE119" s="15" t="str">
        <f t="shared" si="116"/>
        <v/>
      </c>
      <c r="AF119" s="15" t="str">
        <f t="shared" si="116"/>
        <v/>
      </c>
      <c r="AG119" s="15" t="str">
        <f t="shared" si="116"/>
        <v/>
      </c>
      <c r="AH119" s="15" t="str">
        <f t="shared" si="116"/>
        <v/>
      </c>
      <c r="AI119" s="15" t="str">
        <f t="shared" si="116"/>
        <v/>
      </c>
      <c r="AJ119" s="15" t="str">
        <f t="shared" si="116"/>
        <v/>
      </c>
      <c r="AK119" s="15" t="str">
        <f t="shared" si="116"/>
        <v/>
      </c>
      <c r="AL119" s="15" t="str">
        <f t="shared" si="116"/>
        <v/>
      </c>
      <c r="AM119" s="15" t="str">
        <f t="shared" si="116"/>
        <v/>
      </c>
      <c r="AN119" s="15" t="str">
        <f t="shared" si="116"/>
        <v/>
      </c>
      <c r="AO119" s="15" t="str">
        <f t="shared" si="116"/>
        <v/>
      </c>
      <c r="AP119" s="15" t="str">
        <f t="shared" si="116"/>
        <v/>
      </c>
      <c r="AQ119" s="15" t="str">
        <f t="shared" si="116"/>
        <v/>
      </c>
      <c r="AR119" s="15" t="str">
        <f t="shared" si="116"/>
        <v/>
      </c>
      <c r="AS119" s="15" t="str">
        <f t="shared" si="116"/>
        <v/>
      </c>
      <c r="AT119" s="15" t="str">
        <f t="shared" si="116"/>
        <v/>
      </c>
      <c r="AU119" s="15" t="str">
        <f t="shared" si="116"/>
        <v/>
      </c>
      <c r="AV119" s="15" t="str">
        <f t="shared" si="116"/>
        <v/>
      </c>
      <c r="AW119" s="15" t="str">
        <f t="shared" si="116"/>
        <v/>
      </c>
      <c r="AX119" s="15" t="str">
        <f t="shared" si="116"/>
        <v/>
      </c>
      <c r="AY119" s="15" t="str">
        <f t="shared" si="116"/>
        <v/>
      </c>
    </row>
    <row r="120" ht="18.0" customHeight="1">
      <c r="A120" s="13" t="str">
        <f t="shared" si="1"/>
        <v/>
      </c>
      <c r="B120" s="13" t="str">
        <f t="shared" si="2"/>
        <v/>
      </c>
      <c r="C120" s="12" t="str">
        <f t="shared" si="3"/>
        <v/>
      </c>
      <c r="D120" s="12" t="str">
        <f t="shared" si="4"/>
        <v/>
      </c>
      <c r="E120" s="12" t="str">
        <f t="shared" si="5"/>
        <v/>
      </c>
      <c r="F120" s="12" t="str">
        <f t="shared" si="6"/>
        <v/>
      </c>
      <c r="G120" s="12" t="str">
        <f t="shared" si="7"/>
        <v/>
      </c>
      <c r="H120" s="12" t="str">
        <f t="shared" si="8"/>
        <v/>
      </c>
      <c r="I120" s="12" t="str">
        <f t="shared" si="9"/>
        <v/>
      </c>
      <c r="J120" s="12" t="str">
        <f t="shared" si="10"/>
        <v/>
      </c>
      <c r="L120" s="15" t="str">
        <f t="shared" ref="L120:AY120" si="117">IF(L$13="","",IF(AND(L$13&gt;$H119,L$13&lt;=$I119),IF(AND(MOD($B$6,2)=1,L$13=ROUNDUP($J119,0)),"0",IF(L$13=INT($H119)+1,ROUNDDOWN(ABS(L$13-$J119),0),IF(L$13=INT($I119),ROUNDUP(ABS(L$13-$J119),0),""))),""))</f>
        <v/>
      </c>
      <c r="M120" s="15" t="str">
        <f t="shared" si="117"/>
        <v/>
      </c>
      <c r="N120" s="15" t="str">
        <f t="shared" si="117"/>
        <v/>
      </c>
      <c r="O120" s="15" t="str">
        <f t="shared" si="117"/>
        <v/>
      </c>
      <c r="P120" s="15" t="str">
        <f t="shared" si="117"/>
        <v/>
      </c>
      <c r="Q120" s="15" t="str">
        <f t="shared" si="117"/>
        <v/>
      </c>
      <c r="R120" s="15" t="str">
        <f t="shared" si="117"/>
        <v/>
      </c>
      <c r="S120" s="15" t="str">
        <f t="shared" si="117"/>
        <v/>
      </c>
      <c r="T120" s="15" t="str">
        <f t="shared" si="117"/>
        <v/>
      </c>
      <c r="U120" s="15" t="str">
        <f t="shared" si="117"/>
        <v/>
      </c>
      <c r="V120" s="15" t="str">
        <f t="shared" si="117"/>
        <v/>
      </c>
      <c r="W120" s="15" t="str">
        <f t="shared" si="117"/>
        <v/>
      </c>
      <c r="X120" s="15" t="str">
        <f t="shared" si="117"/>
        <v/>
      </c>
      <c r="Y120" s="15" t="str">
        <f t="shared" si="117"/>
        <v/>
      </c>
      <c r="Z120" s="15" t="str">
        <f t="shared" si="117"/>
        <v/>
      </c>
      <c r="AA120" s="15" t="str">
        <f t="shared" si="117"/>
        <v/>
      </c>
      <c r="AB120" s="15" t="str">
        <f t="shared" si="117"/>
        <v/>
      </c>
      <c r="AC120" s="15" t="str">
        <f t="shared" si="117"/>
        <v/>
      </c>
      <c r="AD120" s="15" t="str">
        <f t="shared" si="117"/>
        <v/>
      </c>
      <c r="AE120" s="15" t="str">
        <f t="shared" si="117"/>
        <v/>
      </c>
      <c r="AF120" s="15" t="str">
        <f t="shared" si="117"/>
        <v/>
      </c>
      <c r="AG120" s="15" t="str">
        <f t="shared" si="117"/>
        <v/>
      </c>
      <c r="AH120" s="15" t="str">
        <f t="shared" si="117"/>
        <v/>
      </c>
      <c r="AI120" s="15" t="str">
        <f t="shared" si="117"/>
        <v/>
      </c>
      <c r="AJ120" s="15" t="str">
        <f t="shared" si="117"/>
        <v/>
      </c>
      <c r="AK120" s="15" t="str">
        <f t="shared" si="117"/>
        <v/>
      </c>
      <c r="AL120" s="15" t="str">
        <f t="shared" si="117"/>
        <v/>
      </c>
      <c r="AM120" s="15" t="str">
        <f t="shared" si="117"/>
        <v/>
      </c>
      <c r="AN120" s="15" t="str">
        <f t="shared" si="117"/>
        <v/>
      </c>
      <c r="AO120" s="15" t="str">
        <f t="shared" si="117"/>
        <v/>
      </c>
      <c r="AP120" s="15" t="str">
        <f t="shared" si="117"/>
        <v/>
      </c>
      <c r="AQ120" s="15" t="str">
        <f t="shared" si="117"/>
        <v/>
      </c>
      <c r="AR120" s="15" t="str">
        <f t="shared" si="117"/>
        <v/>
      </c>
      <c r="AS120" s="15" t="str">
        <f t="shared" si="117"/>
        <v/>
      </c>
      <c r="AT120" s="15" t="str">
        <f t="shared" si="117"/>
        <v/>
      </c>
      <c r="AU120" s="15" t="str">
        <f t="shared" si="117"/>
        <v/>
      </c>
      <c r="AV120" s="15" t="str">
        <f t="shared" si="117"/>
        <v/>
      </c>
      <c r="AW120" s="15" t="str">
        <f t="shared" si="117"/>
        <v/>
      </c>
      <c r="AX120" s="15" t="str">
        <f t="shared" si="117"/>
        <v/>
      </c>
      <c r="AY120" s="15" t="str">
        <f t="shared" si="117"/>
        <v/>
      </c>
    </row>
    <row r="121" ht="18.0" customHeight="1">
      <c r="A121" s="13" t="str">
        <f t="shared" si="1"/>
        <v/>
      </c>
      <c r="B121" s="13" t="str">
        <f t="shared" si="2"/>
        <v/>
      </c>
      <c r="C121" s="12" t="str">
        <f t="shared" si="3"/>
        <v/>
      </c>
      <c r="D121" s="12" t="str">
        <f t="shared" si="4"/>
        <v/>
      </c>
      <c r="E121" s="12" t="str">
        <f t="shared" si="5"/>
        <v/>
      </c>
      <c r="F121" s="12" t="str">
        <f t="shared" si="6"/>
        <v/>
      </c>
      <c r="G121" s="12" t="str">
        <f t="shared" si="7"/>
        <v/>
      </c>
      <c r="H121" s="12" t="str">
        <f t="shared" si="8"/>
        <v/>
      </c>
      <c r="I121" s="12" t="str">
        <f t="shared" si="9"/>
        <v/>
      </c>
      <c r="J121" s="12" t="str">
        <f t="shared" si="10"/>
        <v/>
      </c>
      <c r="L121" s="15" t="str">
        <f t="shared" ref="L121:AY121" si="118">IF(L$13="","",IF(AND(L$13&gt;$H120,L$13&lt;=$I120),IF(AND(MOD($B$6,2)=1,L$13=ROUNDUP($J120,0)),"0",IF(L$13=INT($H120)+1,ROUNDDOWN(ABS(L$13-$J120),0),IF(L$13=INT($I120),ROUNDUP(ABS(L$13-$J120),0),""))),""))</f>
        <v/>
      </c>
      <c r="M121" s="15" t="str">
        <f t="shared" si="118"/>
        <v/>
      </c>
      <c r="N121" s="15" t="str">
        <f t="shared" si="118"/>
        <v/>
      </c>
      <c r="O121" s="15" t="str">
        <f t="shared" si="118"/>
        <v/>
      </c>
      <c r="P121" s="15" t="str">
        <f t="shared" si="118"/>
        <v/>
      </c>
      <c r="Q121" s="15" t="str">
        <f t="shared" si="118"/>
        <v/>
      </c>
      <c r="R121" s="15" t="str">
        <f t="shared" si="118"/>
        <v/>
      </c>
      <c r="S121" s="15" t="str">
        <f t="shared" si="118"/>
        <v/>
      </c>
      <c r="T121" s="15" t="str">
        <f t="shared" si="118"/>
        <v/>
      </c>
      <c r="U121" s="15" t="str">
        <f t="shared" si="118"/>
        <v/>
      </c>
      <c r="V121" s="15" t="str">
        <f t="shared" si="118"/>
        <v/>
      </c>
      <c r="W121" s="15" t="str">
        <f t="shared" si="118"/>
        <v/>
      </c>
      <c r="X121" s="15" t="str">
        <f t="shared" si="118"/>
        <v/>
      </c>
      <c r="Y121" s="15" t="str">
        <f t="shared" si="118"/>
        <v/>
      </c>
      <c r="Z121" s="15" t="str">
        <f t="shared" si="118"/>
        <v/>
      </c>
      <c r="AA121" s="15" t="str">
        <f t="shared" si="118"/>
        <v/>
      </c>
      <c r="AB121" s="15" t="str">
        <f t="shared" si="118"/>
        <v/>
      </c>
      <c r="AC121" s="15" t="str">
        <f t="shared" si="118"/>
        <v/>
      </c>
      <c r="AD121" s="15" t="str">
        <f t="shared" si="118"/>
        <v/>
      </c>
      <c r="AE121" s="15" t="str">
        <f t="shared" si="118"/>
        <v/>
      </c>
      <c r="AF121" s="15" t="str">
        <f t="shared" si="118"/>
        <v/>
      </c>
      <c r="AG121" s="15" t="str">
        <f t="shared" si="118"/>
        <v/>
      </c>
      <c r="AH121" s="15" t="str">
        <f t="shared" si="118"/>
        <v/>
      </c>
      <c r="AI121" s="15" t="str">
        <f t="shared" si="118"/>
        <v/>
      </c>
      <c r="AJ121" s="15" t="str">
        <f t="shared" si="118"/>
        <v/>
      </c>
      <c r="AK121" s="15" t="str">
        <f t="shared" si="118"/>
        <v/>
      </c>
      <c r="AL121" s="15" t="str">
        <f t="shared" si="118"/>
        <v/>
      </c>
      <c r="AM121" s="15" t="str">
        <f t="shared" si="118"/>
        <v/>
      </c>
      <c r="AN121" s="15" t="str">
        <f t="shared" si="118"/>
        <v/>
      </c>
      <c r="AO121" s="15" t="str">
        <f t="shared" si="118"/>
        <v/>
      </c>
      <c r="AP121" s="15" t="str">
        <f t="shared" si="118"/>
        <v/>
      </c>
      <c r="AQ121" s="15" t="str">
        <f t="shared" si="118"/>
        <v/>
      </c>
      <c r="AR121" s="15" t="str">
        <f t="shared" si="118"/>
        <v/>
      </c>
      <c r="AS121" s="15" t="str">
        <f t="shared" si="118"/>
        <v/>
      </c>
      <c r="AT121" s="15" t="str">
        <f t="shared" si="118"/>
        <v/>
      </c>
      <c r="AU121" s="15" t="str">
        <f t="shared" si="118"/>
        <v/>
      </c>
      <c r="AV121" s="15" t="str">
        <f t="shared" si="118"/>
        <v/>
      </c>
      <c r="AW121" s="15" t="str">
        <f t="shared" si="118"/>
        <v/>
      </c>
      <c r="AX121" s="15" t="str">
        <f t="shared" si="118"/>
        <v/>
      </c>
      <c r="AY121" s="15" t="str">
        <f t="shared" si="118"/>
        <v/>
      </c>
    </row>
    <row r="122" ht="18.0" customHeight="1">
      <c r="A122" s="13" t="str">
        <f t="shared" si="1"/>
        <v/>
      </c>
      <c r="B122" s="13" t="str">
        <f t="shared" si="2"/>
        <v/>
      </c>
      <c r="C122" s="12" t="str">
        <f t="shared" si="3"/>
        <v/>
      </c>
      <c r="D122" s="12" t="str">
        <f t="shared" si="4"/>
        <v/>
      </c>
      <c r="E122" s="12" t="str">
        <f t="shared" si="5"/>
        <v/>
      </c>
      <c r="F122" s="12" t="str">
        <f t="shared" si="6"/>
        <v/>
      </c>
      <c r="G122" s="12" t="str">
        <f t="shared" si="7"/>
        <v/>
      </c>
      <c r="H122" s="12" t="str">
        <f t="shared" si="8"/>
        <v/>
      </c>
      <c r="I122" s="12" t="str">
        <f t="shared" si="9"/>
        <v/>
      </c>
      <c r="J122" s="12" t="str">
        <f t="shared" si="10"/>
        <v/>
      </c>
      <c r="L122" s="15" t="str">
        <f t="shared" ref="L122:AY122" si="119">IF(L$13="","",IF(AND(L$13&gt;$H121,L$13&lt;=$I121),IF(AND(MOD($B$6,2)=1,L$13=ROUNDUP($J121,0)),"0",IF(L$13=INT($H121)+1,ROUNDDOWN(ABS(L$13-$J121),0),IF(L$13=INT($I121),ROUNDUP(ABS(L$13-$J121),0),""))),""))</f>
        <v/>
      </c>
      <c r="M122" s="15" t="str">
        <f t="shared" si="119"/>
        <v/>
      </c>
      <c r="N122" s="15" t="str">
        <f t="shared" si="119"/>
        <v/>
      </c>
      <c r="O122" s="15" t="str">
        <f t="shared" si="119"/>
        <v/>
      </c>
      <c r="P122" s="15" t="str">
        <f t="shared" si="119"/>
        <v/>
      </c>
      <c r="Q122" s="15" t="str">
        <f t="shared" si="119"/>
        <v/>
      </c>
      <c r="R122" s="15" t="str">
        <f t="shared" si="119"/>
        <v/>
      </c>
      <c r="S122" s="15" t="str">
        <f t="shared" si="119"/>
        <v/>
      </c>
      <c r="T122" s="15" t="str">
        <f t="shared" si="119"/>
        <v/>
      </c>
      <c r="U122" s="15" t="str">
        <f t="shared" si="119"/>
        <v/>
      </c>
      <c r="V122" s="15" t="str">
        <f t="shared" si="119"/>
        <v/>
      </c>
      <c r="W122" s="15" t="str">
        <f t="shared" si="119"/>
        <v/>
      </c>
      <c r="X122" s="15" t="str">
        <f t="shared" si="119"/>
        <v/>
      </c>
      <c r="Y122" s="15" t="str">
        <f t="shared" si="119"/>
        <v/>
      </c>
      <c r="Z122" s="15" t="str">
        <f t="shared" si="119"/>
        <v/>
      </c>
      <c r="AA122" s="15" t="str">
        <f t="shared" si="119"/>
        <v/>
      </c>
      <c r="AB122" s="15" t="str">
        <f t="shared" si="119"/>
        <v/>
      </c>
      <c r="AC122" s="15" t="str">
        <f t="shared" si="119"/>
        <v/>
      </c>
      <c r="AD122" s="15" t="str">
        <f t="shared" si="119"/>
        <v/>
      </c>
      <c r="AE122" s="15" t="str">
        <f t="shared" si="119"/>
        <v/>
      </c>
      <c r="AF122" s="15" t="str">
        <f t="shared" si="119"/>
        <v/>
      </c>
      <c r="AG122" s="15" t="str">
        <f t="shared" si="119"/>
        <v/>
      </c>
      <c r="AH122" s="15" t="str">
        <f t="shared" si="119"/>
        <v/>
      </c>
      <c r="AI122" s="15" t="str">
        <f t="shared" si="119"/>
        <v/>
      </c>
      <c r="AJ122" s="15" t="str">
        <f t="shared" si="119"/>
        <v/>
      </c>
      <c r="AK122" s="15" t="str">
        <f t="shared" si="119"/>
        <v/>
      </c>
      <c r="AL122" s="15" t="str">
        <f t="shared" si="119"/>
        <v/>
      </c>
      <c r="AM122" s="15" t="str">
        <f t="shared" si="119"/>
        <v/>
      </c>
      <c r="AN122" s="15" t="str">
        <f t="shared" si="119"/>
        <v/>
      </c>
      <c r="AO122" s="15" t="str">
        <f t="shared" si="119"/>
        <v/>
      </c>
      <c r="AP122" s="15" t="str">
        <f t="shared" si="119"/>
        <v/>
      </c>
      <c r="AQ122" s="15" t="str">
        <f t="shared" si="119"/>
        <v/>
      </c>
      <c r="AR122" s="15" t="str">
        <f t="shared" si="119"/>
        <v/>
      </c>
      <c r="AS122" s="15" t="str">
        <f t="shared" si="119"/>
        <v/>
      </c>
      <c r="AT122" s="15" t="str">
        <f t="shared" si="119"/>
        <v/>
      </c>
      <c r="AU122" s="15" t="str">
        <f t="shared" si="119"/>
        <v/>
      </c>
      <c r="AV122" s="15" t="str">
        <f t="shared" si="119"/>
        <v/>
      </c>
      <c r="AW122" s="15" t="str">
        <f t="shared" si="119"/>
        <v/>
      </c>
      <c r="AX122" s="15" t="str">
        <f t="shared" si="119"/>
        <v/>
      </c>
      <c r="AY122" s="15" t="str">
        <f t="shared" si="119"/>
        <v/>
      </c>
    </row>
    <row r="123" ht="18.0" customHeight="1">
      <c r="A123" s="13" t="str">
        <f t="shared" si="1"/>
        <v/>
      </c>
      <c r="B123" s="13" t="str">
        <f t="shared" si="2"/>
        <v/>
      </c>
      <c r="C123" s="12" t="str">
        <f t="shared" si="3"/>
        <v/>
      </c>
      <c r="D123" s="12" t="str">
        <f t="shared" si="4"/>
        <v/>
      </c>
      <c r="E123" s="12" t="str">
        <f t="shared" si="5"/>
        <v/>
      </c>
      <c r="F123" s="12" t="str">
        <f t="shared" si="6"/>
        <v/>
      </c>
      <c r="G123" s="12" t="str">
        <f t="shared" si="7"/>
        <v/>
      </c>
      <c r="H123" s="12" t="str">
        <f t="shared" si="8"/>
        <v/>
      </c>
      <c r="I123" s="12" t="str">
        <f t="shared" si="9"/>
        <v/>
      </c>
      <c r="J123" s="12" t="str">
        <f t="shared" si="10"/>
        <v/>
      </c>
      <c r="L123" s="15" t="str">
        <f t="shared" ref="L123:AY123" si="120">IF(L$13="","",IF(AND(L$13&gt;$H122,L$13&lt;=$I122),IF(AND(MOD($B$6,2)=1,L$13=ROUNDUP($J122,0)),"0",IF(L$13=INT($H122)+1,ROUNDDOWN(ABS(L$13-$J122),0),IF(L$13=INT($I122),ROUNDUP(ABS(L$13-$J122),0),""))),""))</f>
        <v/>
      </c>
      <c r="M123" s="15" t="str">
        <f t="shared" si="120"/>
        <v/>
      </c>
      <c r="N123" s="15" t="str">
        <f t="shared" si="120"/>
        <v/>
      </c>
      <c r="O123" s="15" t="str">
        <f t="shared" si="120"/>
        <v/>
      </c>
      <c r="P123" s="15" t="str">
        <f t="shared" si="120"/>
        <v/>
      </c>
      <c r="Q123" s="15" t="str">
        <f t="shared" si="120"/>
        <v/>
      </c>
      <c r="R123" s="15" t="str">
        <f t="shared" si="120"/>
        <v/>
      </c>
      <c r="S123" s="15" t="str">
        <f t="shared" si="120"/>
        <v/>
      </c>
      <c r="T123" s="15" t="str">
        <f t="shared" si="120"/>
        <v/>
      </c>
      <c r="U123" s="15" t="str">
        <f t="shared" si="120"/>
        <v/>
      </c>
      <c r="V123" s="15" t="str">
        <f t="shared" si="120"/>
        <v/>
      </c>
      <c r="W123" s="15" t="str">
        <f t="shared" si="120"/>
        <v/>
      </c>
      <c r="X123" s="15" t="str">
        <f t="shared" si="120"/>
        <v/>
      </c>
      <c r="Y123" s="15" t="str">
        <f t="shared" si="120"/>
        <v/>
      </c>
      <c r="Z123" s="15" t="str">
        <f t="shared" si="120"/>
        <v/>
      </c>
      <c r="AA123" s="15" t="str">
        <f t="shared" si="120"/>
        <v/>
      </c>
      <c r="AB123" s="15" t="str">
        <f t="shared" si="120"/>
        <v/>
      </c>
      <c r="AC123" s="15" t="str">
        <f t="shared" si="120"/>
        <v/>
      </c>
      <c r="AD123" s="15" t="str">
        <f t="shared" si="120"/>
        <v/>
      </c>
      <c r="AE123" s="15" t="str">
        <f t="shared" si="120"/>
        <v/>
      </c>
      <c r="AF123" s="15" t="str">
        <f t="shared" si="120"/>
        <v/>
      </c>
      <c r="AG123" s="15" t="str">
        <f t="shared" si="120"/>
        <v/>
      </c>
      <c r="AH123" s="15" t="str">
        <f t="shared" si="120"/>
        <v/>
      </c>
      <c r="AI123" s="15" t="str">
        <f t="shared" si="120"/>
        <v/>
      </c>
      <c r="AJ123" s="15" t="str">
        <f t="shared" si="120"/>
        <v/>
      </c>
      <c r="AK123" s="15" t="str">
        <f t="shared" si="120"/>
        <v/>
      </c>
      <c r="AL123" s="15" t="str">
        <f t="shared" si="120"/>
        <v/>
      </c>
      <c r="AM123" s="15" t="str">
        <f t="shared" si="120"/>
        <v/>
      </c>
      <c r="AN123" s="15" t="str">
        <f t="shared" si="120"/>
        <v/>
      </c>
      <c r="AO123" s="15" t="str">
        <f t="shared" si="120"/>
        <v/>
      </c>
      <c r="AP123" s="15" t="str">
        <f t="shared" si="120"/>
        <v/>
      </c>
      <c r="AQ123" s="15" t="str">
        <f t="shared" si="120"/>
        <v/>
      </c>
      <c r="AR123" s="15" t="str">
        <f t="shared" si="120"/>
        <v/>
      </c>
      <c r="AS123" s="15" t="str">
        <f t="shared" si="120"/>
        <v/>
      </c>
      <c r="AT123" s="15" t="str">
        <f t="shared" si="120"/>
        <v/>
      </c>
      <c r="AU123" s="15" t="str">
        <f t="shared" si="120"/>
        <v/>
      </c>
      <c r="AV123" s="15" t="str">
        <f t="shared" si="120"/>
        <v/>
      </c>
      <c r="AW123" s="15" t="str">
        <f t="shared" si="120"/>
        <v/>
      </c>
      <c r="AX123" s="15" t="str">
        <f t="shared" si="120"/>
        <v/>
      </c>
      <c r="AY123" s="15" t="str">
        <f t="shared" si="120"/>
        <v/>
      </c>
    </row>
    <row r="124" ht="18.0" customHeight="1">
      <c r="A124" s="13" t="str">
        <f t="shared" si="1"/>
        <v/>
      </c>
      <c r="B124" s="13" t="str">
        <f t="shared" si="2"/>
        <v/>
      </c>
      <c r="C124" s="12" t="str">
        <f t="shared" si="3"/>
        <v/>
      </c>
      <c r="D124" s="12" t="str">
        <f t="shared" si="4"/>
        <v/>
      </c>
      <c r="E124" s="12" t="str">
        <f t="shared" si="5"/>
        <v/>
      </c>
      <c r="F124" s="12" t="str">
        <f t="shared" si="6"/>
        <v/>
      </c>
      <c r="G124" s="12" t="str">
        <f t="shared" si="7"/>
        <v/>
      </c>
      <c r="H124" s="12" t="str">
        <f t="shared" si="8"/>
        <v/>
      </c>
      <c r="I124" s="12" t="str">
        <f t="shared" si="9"/>
        <v/>
      </c>
      <c r="J124" s="12" t="str">
        <f t="shared" si="10"/>
        <v/>
      </c>
      <c r="L124" s="15" t="str">
        <f t="shared" ref="L124:AY124" si="121">IF(L$13="","",IF(AND(L$13&gt;$H123,L$13&lt;=$I123),IF(AND(MOD($B$6,2)=1,L$13=ROUNDUP($J123,0)),"0",IF(L$13=INT($H123)+1,ROUNDDOWN(ABS(L$13-$J123),0),IF(L$13=INT($I123),ROUNDUP(ABS(L$13-$J123),0),""))),""))</f>
        <v/>
      </c>
      <c r="M124" s="15" t="str">
        <f t="shared" si="121"/>
        <v/>
      </c>
      <c r="N124" s="15" t="str">
        <f t="shared" si="121"/>
        <v/>
      </c>
      <c r="O124" s="15" t="str">
        <f t="shared" si="121"/>
        <v/>
      </c>
      <c r="P124" s="15" t="str">
        <f t="shared" si="121"/>
        <v/>
      </c>
      <c r="Q124" s="15" t="str">
        <f t="shared" si="121"/>
        <v/>
      </c>
      <c r="R124" s="15" t="str">
        <f t="shared" si="121"/>
        <v/>
      </c>
      <c r="S124" s="15" t="str">
        <f t="shared" si="121"/>
        <v/>
      </c>
      <c r="T124" s="15" t="str">
        <f t="shared" si="121"/>
        <v/>
      </c>
      <c r="U124" s="15" t="str">
        <f t="shared" si="121"/>
        <v/>
      </c>
      <c r="V124" s="15" t="str">
        <f t="shared" si="121"/>
        <v/>
      </c>
      <c r="W124" s="15" t="str">
        <f t="shared" si="121"/>
        <v/>
      </c>
      <c r="X124" s="15" t="str">
        <f t="shared" si="121"/>
        <v/>
      </c>
      <c r="Y124" s="15" t="str">
        <f t="shared" si="121"/>
        <v/>
      </c>
      <c r="Z124" s="15" t="str">
        <f t="shared" si="121"/>
        <v/>
      </c>
      <c r="AA124" s="15" t="str">
        <f t="shared" si="121"/>
        <v/>
      </c>
      <c r="AB124" s="15" t="str">
        <f t="shared" si="121"/>
        <v/>
      </c>
      <c r="AC124" s="15" t="str">
        <f t="shared" si="121"/>
        <v/>
      </c>
      <c r="AD124" s="15" t="str">
        <f t="shared" si="121"/>
        <v/>
      </c>
      <c r="AE124" s="15" t="str">
        <f t="shared" si="121"/>
        <v/>
      </c>
      <c r="AF124" s="15" t="str">
        <f t="shared" si="121"/>
        <v/>
      </c>
      <c r="AG124" s="15" t="str">
        <f t="shared" si="121"/>
        <v/>
      </c>
      <c r="AH124" s="15" t="str">
        <f t="shared" si="121"/>
        <v/>
      </c>
      <c r="AI124" s="15" t="str">
        <f t="shared" si="121"/>
        <v/>
      </c>
      <c r="AJ124" s="15" t="str">
        <f t="shared" si="121"/>
        <v/>
      </c>
      <c r="AK124" s="15" t="str">
        <f t="shared" si="121"/>
        <v/>
      </c>
      <c r="AL124" s="15" t="str">
        <f t="shared" si="121"/>
        <v/>
      </c>
      <c r="AM124" s="15" t="str">
        <f t="shared" si="121"/>
        <v/>
      </c>
      <c r="AN124" s="15" t="str">
        <f t="shared" si="121"/>
        <v/>
      </c>
      <c r="AO124" s="15" t="str">
        <f t="shared" si="121"/>
        <v/>
      </c>
      <c r="AP124" s="15" t="str">
        <f t="shared" si="121"/>
        <v/>
      </c>
      <c r="AQ124" s="15" t="str">
        <f t="shared" si="121"/>
        <v/>
      </c>
      <c r="AR124" s="15" t="str">
        <f t="shared" si="121"/>
        <v/>
      </c>
      <c r="AS124" s="15" t="str">
        <f t="shared" si="121"/>
        <v/>
      </c>
      <c r="AT124" s="15" t="str">
        <f t="shared" si="121"/>
        <v/>
      </c>
      <c r="AU124" s="15" t="str">
        <f t="shared" si="121"/>
        <v/>
      </c>
      <c r="AV124" s="15" t="str">
        <f t="shared" si="121"/>
        <v/>
      </c>
      <c r="AW124" s="15" t="str">
        <f t="shared" si="121"/>
        <v/>
      </c>
      <c r="AX124" s="15" t="str">
        <f t="shared" si="121"/>
        <v/>
      </c>
      <c r="AY124" s="15" t="str">
        <f t="shared" si="121"/>
        <v/>
      </c>
    </row>
    <row r="125" ht="18.0" customHeight="1">
      <c r="A125" s="13" t="str">
        <f t="shared" si="1"/>
        <v/>
      </c>
      <c r="B125" s="13" t="str">
        <f t="shared" si="2"/>
        <v/>
      </c>
      <c r="C125" s="12" t="str">
        <f t="shared" si="3"/>
        <v/>
      </c>
      <c r="D125" s="12" t="str">
        <f t="shared" si="4"/>
        <v/>
      </c>
      <c r="E125" s="12" t="str">
        <f t="shared" si="5"/>
        <v/>
      </c>
      <c r="F125" s="12" t="str">
        <f t="shared" si="6"/>
        <v/>
      </c>
      <c r="G125" s="12" t="str">
        <f t="shared" si="7"/>
        <v/>
      </c>
      <c r="H125" s="12" t="str">
        <f t="shared" si="8"/>
        <v/>
      </c>
      <c r="I125" s="12" t="str">
        <f t="shared" si="9"/>
        <v/>
      </c>
      <c r="J125" s="12" t="str">
        <f t="shared" si="10"/>
        <v/>
      </c>
      <c r="L125" s="15" t="str">
        <f t="shared" ref="L125:AY125" si="122">IF(L$13="","",IF(AND(L$13&gt;$H124,L$13&lt;=$I124),IF(AND(MOD($B$6,2)=1,L$13=ROUNDUP($J124,0)),"0",IF(L$13=INT($H124)+1,ROUNDDOWN(ABS(L$13-$J124),0),IF(L$13=INT($I124),ROUNDUP(ABS(L$13-$J124),0),""))),""))</f>
        <v/>
      </c>
      <c r="M125" s="15" t="str">
        <f t="shared" si="122"/>
        <v/>
      </c>
      <c r="N125" s="15" t="str">
        <f t="shared" si="122"/>
        <v/>
      </c>
      <c r="O125" s="15" t="str">
        <f t="shared" si="122"/>
        <v/>
      </c>
      <c r="P125" s="15" t="str">
        <f t="shared" si="122"/>
        <v/>
      </c>
      <c r="Q125" s="15" t="str">
        <f t="shared" si="122"/>
        <v/>
      </c>
      <c r="R125" s="15" t="str">
        <f t="shared" si="122"/>
        <v/>
      </c>
      <c r="S125" s="15" t="str">
        <f t="shared" si="122"/>
        <v/>
      </c>
      <c r="T125" s="15" t="str">
        <f t="shared" si="122"/>
        <v/>
      </c>
      <c r="U125" s="15" t="str">
        <f t="shared" si="122"/>
        <v/>
      </c>
      <c r="V125" s="15" t="str">
        <f t="shared" si="122"/>
        <v/>
      </c>
      <c r="W125" s="15" t="str">
        <f t="shared" si="122"/>
        <v/>
      </c>
      <c r="X125" s="15" t="str">
        <f t="shared" si="122"/>
        <v/>
      </c>
      <c r="Y125" s="15" t="str">
        <f t="shared" si="122"/>
        <v/>
      </c>
      <c r="Z125" s="15" t="str">
        <f t="shared" si="122"/>
        <v/>
      </c>
      <c r="AA125" s="15" t="str">
        <f t="shared" si="122"/>
        <v/>
      </c>
      <c r="AB125" s="15" t="str">
        <f t="shared" si="122"/>
        <v/>
      </c>
      <c r="AC125" s="15" t="str">
        <f t="shared" si="122"/>
        <v/>
      </c>
      <c r="AD125" s="15" t="str">
        <f t="shared" si="122"/>
        <v/>
      </c>
      <c r="AE125" s="15" t="str">
        <f t="shared" si="122"/>
        <v/>
      </c>
      <c r="AF125" s="15" t="str">
        <f t="shared" si="122"/>
        <v/>
      </c>
      <c r="AG125" s="15" t="str">
        <f t="shared" si="122"/>
        <v/>
      </c>
      <c r="AH125" s="15" t="str">
        <f t="shared" si="122"/>
        <v/>
      </c>
      <c r="AI125" s="15" t="str">
        <f t="shared" si="122"/>
        <v/>
      </c>
      <c r="AJ125" s="15" t="str">
        <f t="shared" si="122"/>
        <v/>
      </c>
      <c r="AK125" s="15" t="str">
        <f t="shared" si="122"/>
        <v/>
      </c>
      <c r="AL125" s="15" t="str">
        <f t="shared" si="122"/>
        <v/>
      </c>
      <c r="AM125" s="15" t="str">
        <f t="shared" si="122"/>
        <v/>
      </c>
      <c r="AN125" s="15" t="str">
        <f t="shared" si="122"/>
        <v/>
      </c>
      <c r="AO125" s="15" t="str">
        <f t="shared" si="122"/>
        <v/>
      </c>
      <c r="AP125" s="15" t="str">
        <f t="shared" si="122"/>
        <v/>
      </c>
      <c r="AQ125" s="15" t="str">
        <f t="shared" si="122"/>
        <v/>
      </c>
      <c r="AR125" s="15" t="str">
        <f t="shared" si="122"/>
        <v/>
      </c>
      <c r="AS125" s="15" t="str">
        <f t="shared" si="122"/>
        <v/>
      </c>
      <c r="AT125" s="15" t="str">
        <f t="shared" si="122"/>
        <v/>
      </c>
      <c r="AU125" s="15" t="str">
        <f t="shared" si="122"/>
        <v/>
      </c>
      <c r="AV125" s="15" t="str">
        <f t="shared" si="122"/>
        <v/>
      </c>
      <c r="AW125" s="15" t="str">
        <f t="shared" si="122"/>
        <v/>
      </c>
      <c r="AX125" s="15" t="str">
        <f t="shared" si="122"/>
        <v/>
      </c>
      <c r="AY125" s="15" t="str">
        <f t="shared" si="122"/>
        <v/>
      </c>
    </row>
    <row r="126" ht="18.0" customHeight="1">
      <c r="A126" s="13" t="str">
        <f t="shared" si="1"/>
        <v/>
      </c>
      <c r="B126" s="13" t="str">
        <f t="shared" si="2"/>
        <v/>
      </c>
      <c r="C126" s="12" t="str">
        <f t="shared" si="3"/>
        <v/>
      </c>
      <c r="D126" s="12" t="str">
        <f t="shared" si="4"/>
        <v/>
      </c>
      <c r="E126" s="12" t="str">
        <f t="shared" si="5"/>
        <v/>
      </c>
      <c r="F126" s="12" t="str">
        <f t="shared" si="6"/>
        <v/>
      </c>
      <c r="G126" s="12" t="str">
        <f t="shared" si="7"/>
        <v/>
      </c>
      <c r="H126" s="12" t="str">
        <f t="shared" si="8"/>
        <v/>
      </c>
      <c r="I126" s="12" t="str">
        <f t="shared" si="9"/>
        <v/>
      </c>
      <c r="J126" s="12" t="str">
        <f t="shared" si="10"/>
        <v/>
      </c>
      <c r="L126" s="15" t="str">
        <f t="shared" ref="L126:AY126" si="123">IF(L$13="","",IF(AND(L$13&gt;$H125,L$13&lt;=$I125),IF(AND(MOD($B$6,2)=1,L$13=ROUNDUP($J125,0)),"0",IF(L$13=INT($H125)+1,ROUNDDOWN(ABS(L$13-$J125),0),IF(L$13=INT($I125),ROUNDUP(ABS(L$13-$J125),0),""))),""))</f>
        <v/>
      </c>
      <c r="M126" s="15" t="str">
        <f t="shared" si="123"/>
        <v/>
      </c>
      <c r="N126" s="15" t="str">
        <f t="shared" si="123"/>
        <v/>
      </c>
      <c r="O126" s="15" t="str">
        <f t="shared" si="123"/>
        <v/>
      </c>
      <c r="P126" s="15" t="str">
        <f t="shared" si="123"/>
        <v/>
      </c>
      <c r="Q126" s="15" t="str">
        <f t="shared" si="123"/>
        <v/>
      </c>
      <c r="R126" s="15" t="str">
        <f t="shared" si="123"/>
        <v/>
      </c>
      <c r="S126" s="15" t="str">
        <f t="shared" si="123"/>
        <v/>
      </c>
      <c r="T126" s="15" t="str">
        <f t="shared" si="123"/>
        <v/>
      </c>
      <c r="U126" s="15" t="str">
        <f t="shared" si="123"/>
        <v/>
      </c>
      <c r="V126" s="15" t="str">
        <f t="shared" si="123"/>
        <v/>
      </c>
      <c r="W126" s="15" t="str">
        <f t="shared" si="123"/>
        <v/>
      </c>
      <c r="X126" s="15" t="str">
        <f t="shared" si="123"/>
        <v/>
      </c>
      <c r="Y126" s="15" t="str">
        <f t="shared" si="123"/>
        <v/>
      </c>
      <c r="Z126" s="15" t="str">
        <f t="shared" si="123"/>
        <v/>
      </c>
      <c r="AA126" s="15" t="str">
        <f t="shared" si="123"/>
        <v/>
      </c>
      <c r="AB126" s="15" t="str">
        <f t="shared" si="123"/>
        <v/>
      </c>
      <c r="AC126" s="15" t="str">
        <f t="shared" si="123"/>
        <v/>
      </c>
      <c r="AD126" s="15" t="str">
        <f t="shared" si="123"/>
        <v/>
      </c>
      <c r="AE126" s="15" t="str">
        <f t="shared" si="123"/>
        <v/>
      </c>
      <c r="AF126" s="15" t="str">
        <f t="shared" si="123"/>
        <v/>
      </c>
      <c r="AG126" s="15" t="str">
        <f t="shared" si="123"/>
        <v/>
      </c>
      <c r="AH126" s="15" t="str">
        <f t="shared" si="123"/>
        <v/>
      </c>
      <c r="AI126" s="15" t="str">
        <f t="shared" si="123"/>
        <v/>
      </c>
      <c r="AJ126" s="15" t="str">
        <f t="shared" si="123"/>
        <v/>
      </c>
      <c r="AK126" s="15" t="str">
        <f t="shared" si="123"/>
        <v/>
      </c>
      <c r="AL126" s="15" t="str">
        <f t="shared" si="123"/>
        <v/>
      </c>
      <c r="AM126" s="15" t="str">
        <f t="shared" si="123"/>
        <v/>
      </c>
      <c r="AN126" s="15" t="str">
        <f t="shared" si="123"/>
        <v/>
      </c>
      <c r="AO126" s="15" t="str">
        <f t="shared" si="123"/>
        <v/>
      </c>
      <c r="AP126" s="15" t="str">
        <f t="shared" si="123"/>
        <v/>
      </c>
      <c r="AQ126" s="15" t="str">
        <f t="shared" si="123"/>
        <v/>
      </c>
      <c r="AR126" s="15" t="str">
        <f t="shared" si="123"/>
        <v/>
      </c>
      <c r="AS126" s="15" t="str">
        <f t="shared" si="123"/>
        <v/>
      </c>
      <c r="AT126" s="15" t="str">
        <f t="shared" si="123"/>
        <v/>
      </c>
      <c r="AU126" s="15" t="str">
        <f t="shared" si="123"/>
        <v/>
      </c>
      <c r="AV126" s="15" t="str">
        <f t="shared" si="123"/>
        <v/>
      </c>
      <c r="AW126" s="15" t="str">
        <f t="shared" si="123"/>
        <v/>
      </c>
      <c r="AX126" s="15" t="str">
        <f t="shared" si="123"/>
        <v/>
      </c>
      <c r="AY126" s="15" t="str">
        <f t="shared" si="123"/>
        <v/>
      </c>
    </row>
    <row r="127" ht="18.0" customHeight="1">
      <c r="A127" s="13" t="str">
        <f t="shared" si="1"/>
        <v/>
      </c>
      <c r="B127" s="13" t="str">
        <f t="shared" si="2"/>
        <v/>
      </c>
      <c r="C127" s="12" t="str">
        <f t="shared" si="3"/>
        <v/>
      </c>
      <c r="D127" s="12" t="str">
        <f t="shared" si="4"/>
        <v/>
      </c>
      <c r="E127" s="12" t="str">
        <f t="shared" si="5"/>
        <v/>
      </c>
      <c r="F127" s="12" t="str">
        <f t="shared" si="6"/>
        <v/>
      </c>
      <c r="G127" s="12" t="str">
        <f t="shared" si="7"/>
        <v/>
      </c>
      <c r="H127" s="12" t="str">
        <f t="shared" si="8"/>
        <v/>
      </c>
      <c r="I127" s="12" t="str">
        <f t="shared" si="9"/>
        <v/>
      </c>
      <c r="J127" s="12" t="str">
        <f t="shared" si="10"/>
        <v/>
      </c>
      <c r="L127" s="15" t="str">
        <f t="shared" ref="L127:AY127" si="124">IF(L$13="","",IF(AND(L$13&gt;$H126,L$13&lt;=$I126),IF(AND(MOD($B$6,2)=1,L$13=ROUNDUP($J126,0)),"0",IF(L$13=INT($H126)+1,ROUNDDOWN(ABS(L$13-$J126),0),IF(L$13=INT($I126),ROUNDUP(ABS(L$13-$J126),0),""))),""))</f>
        <v/>
      </c>
      <c r="M127" s="15" t="str">
        <f t="shared" si="124"/>
        <v/>
      </c>
      <c r="N127" s="15" t="str">
        <f t="shared" si="124"/>
        <v/>
      </c>
      <c r="O127" s="15" t="str">
        <f t="shared" si="124"/>
        <v/>
      </c>
      <c r="P127" s="15" t="str">
        <f t="shared" si="124"/>
        <v/>
      </c>
      <c r="Q127" s="15" t="str">
        <f t="shared" si="124"/>
        <v/>
      </c>
      <c r="R127" s="15" t="str">
        <f t="shared" si="124"/>
        <v/>
      </c>
      <c r="S127" s="15" t="str">
        <f t="shared" si="124"/>
        <v/>
      </c>
      <c r="T127" s="15" t="str">
        <f t="shared" si="124"/>
        <v/>
      </c>
      <c r="U127" s="15" t="str">
        <f t="shared" si="124"/>
        <v/>
      </c>
      <c r="V127" s="15" t="str">
        <f t="shared" si="124"/>
        <v/>
      </c>
      <c r="W127" s="15" t="str">
        <f t="shared" si="124"/>
        <v/>
      </c>
      <c r="X127" s="15" t="str">
        <f t="shared" si="124"/>
        <v/>
      </c>
      <c r="Y127" s="15" t="str">
        <f t="shared" si="124"/>
        <v/>
      </c>
      <c r="Z127" s="15" t="str">
        <f t="shared" si="124"/>
        <v/>
      </c>
      <c r="AA127" s="15" t="str">
        <f t="shared" si="124"/>
        <v/>
      </c>
      <c r="AB127" s="15" t="str">
        <f t="shared" si="124"/>
        <v/>
      </c>
      <c r="AC127" s="15" t="str">
        <f t="shared" si="124"/>
        <v/>
      </c>
      <c r="AD127" s="15" t="str">
        <f t="shared" si="124"/>
        <v/>
      </c>
      <c r="AE127" s="15" t="str">
        <f t="shared" si="124"/>
        <v/>
      </c>
      <c r="AF127" s="15" t="str">
        <f t="shared" si="124"/>
        <v/>
      </c>
      <c r="AG127" s="15" t="str">
        <f t="shared" si="124"/>
        <v/>
      </c>
      <c r="AH127" s="15" t="str">
        <f t="shared" si="124"/>
        <v/>
      </c>
      <c r="AI127" s="15" t="str">
        <f t="shared" si="124"/>
        <v/>
      </c>
      <c r="AJ127" s="15" t="str">
        <f t="shared" si="124"/>
        <v/>
      </c>
      <c r="AK127" s="15" t="str">
        <f t="shared" si="124"/>
        <v/>
      </c>
      <c r="AL127" s="15" t="str">
        <f t="shared" si="124"/>
        <v/>
      </c>
      <c r="AM127" s="15" t="str">
        <f t="shared" si="124"/>
        <v/>
      </c>
      <c r="AN127" s="15" t="str">
        <f t="shared" si="124"/>
        <v/>
      </c>
      <c r="AO127" s="15" t="str">
        <f t="shared" si="124"/>
        <v/>
      </c>
      <c r="AP127" s="15" t="str">
        <f t="shared" si="124"/>
        <v/>
      </c>
      <c r="AQ127" s="15" t="str">
        <f t="shared" si="124"/>
        <v/>
      </c>
      <c r="AR127" s="15" t="str">
        <f t="shared" si="124"/>
        <v/>
      </c>
      <c r="AS127" s="15" t="str">
        <f t="shared" si="124"/>
        <v/>
      </c>
      <c r="AT127" s="15" t="str">
        <f t="shared" si="124"/>
        <v/>
      </c>
      <c r="AU127" s="15" t="str">
        <f t="shared" si="124"/>
        <v/>
      </c>
      <c r="AV127" s="15" t="str">
        <f t="shared" si="124"/>
        <v/>
      </c>
      <c r="AW127" s="15" t="str">
        <f t="shared" si="124"/>
        <v/>
      </c>
      <c r="AX127" s="15" t="str">
        <f t="shared" si="124"/>
        <v/>
      </c>
      <c r="AY127" s="15" t="str">
        <f t="shared" si="124"/>
        <v/>
      </c>
    </row>
    <row r="128" ht="18.0" customHeight="1">
      <c r="A128" s="13" t="str">
        <f t="shared" si="1"/>
        <v/>
      </c>
      <c r="B128" s="13" t="str">
        <f t="shared" si="2"/>
        <v/>
      </c>
      <c r="C128" s="12" t="str">
        <f t="shared" si="3"/>
        <v/>
      </c>
      <c r="D128" s="12" t="str">
        <f t="shared" si="4"/>
        <v/>
      </c>
      <c r="E128" s="12" t="str">
        <f t="shared" si="5"/>
        <v/>
      </c>
      <c r="F128" s="12" t="str">
        <f t="shared" si="6"/>
        <v/>
      </c>
      <c r="G128" s="12" t="str">
        <f t="shared" si="7"/>
        <v/>
      </c>
      <c r="H128" s="12" t="str">
        <f t="shared" si="8"/>
        <v/>
      </c>
      <c r="I128" s="12" t="str">
        <f t="shared" si="9"/>
        <v/>
      </c>
      <c r="J128" s="12" t="str">
        <f t="shared" si="10"/>
        <v/>
      </c>
      <c r="L128" s="15" t="str">
        <f t="shared" ref="L128:AY128" si="125">IF(L$13="","",IF(AND(L$13&gt;$H127,L$13&lt;=$I127),IF(AND(MOD($B$6,2)=1,L$13=ROUNDUP($J127,0)),"0",IF(L$13=INT($H127)+1,ROUNDDOWN(ABS(L$13-$J127),0),IF(L$13=INT($I127),ROUNDUP(ABS(L$13-$J127),0),""))),""))</f>
        <v/>
      </c>
      <c r="M128" s="15" t="str">
        <f t="shared" si="125"/>
        <v/>
      </c>
      <c r="N128" s="15" t="str">
        <f t="shared" si="125"/>
        <v/>
      </c>
      <c r="O128" s="15" t="str">
        <f t="shared" si="125"/>
        <v/>
      </c>
      <c r="P128" s="15" t="str">
        <f t="shared" si="125"/>
        <v/>
      </c>
      <c r="Q128" s="15" t="str">
        <f t="shared" si="125"/>
        <v/>
      </c>
      <c r="R128" s="15" t="str">
        <f t="shared" si="125"/>
        <v/>
      </c>
      <c r="S128" s="15" t="str">
        <f t="shared" si="125"/>
        <v/>
      </c>
      <c r="T128" s="15" t="str">
        <f t="shared" si="125"/>
        <v/>
      </c>
      <c r="U128" s="15" t="str">
        <f t="shared" si="125"/>
        <v/>
      </c>
      <c r="V128" s="15" t="str">
        <f t="shared" si="125"/>
        <v/>
      </c>
      <c r="W128" s="15" t="str">
        <f t="shared" si="125"/>
        <v/>
      </c>
      <c r="X128" s="15" t="str">
        <f t="shared" si="125"/>
        <v/>
      </c>
      <c r="Y128" s="15" t="str">
        <f t="shared" si="125"/>
        <v/>
      </c>
      <c r="Z128" s="15" t="str">
        <f t="shared" si="125"/>
        <v/>
      </c>
      <c r="AA128" s="15" t="str">
        <f t="shared" si="125"/>
        <v/>
      </c>
      <c r="AB128" s="15" t="str">
        <f t="shared" si="125"/>
        <v/>
      </c>
      <c r="AC128" s="15" t="str">
        <f t="shared" si="125"/>
        <v/>
      </c>
      <c r="AD128" s="15" t="str">
        <f t="shared" si="125"/>
        <v/>
      </c>
      <c r="AE128" s="15" t="str">
        <f t="shared" si="125"/>
        <v/>
      </c>
      <c r="AF128" s="15" t="str">
        <f t="shared" si="125"/>
        <v/>
      </c>
      <c r="AG128" s="15" t="str">
        <f t="shared" si="125"/>
        <v/>
      </c>
      <c r="AH128" s="15" t="str">
        <f t="shared" si="125"/>
        <v/>
      </c>
      <c r="AI128" s="15" t="str">
        <f t="shared" si="125"/>
        <v/>
      </c>
      <c r="AJ128" s="15" t="str">
        <f t="shared" si="125"/>
        <v/>
      </c>
      <c r="AK128" s="15" t="str">
        <f t="shared" si="125"/>
        <v/>
      </c>
      <c r="AL128" s="15" t="str">
        <f t="shared" si="125"/>
        <v/>
      </c>
      <c r="AM128" s="15" t="str">
        <f t="shared" si="125"/>
        <v/>
      </c>
      <c r="AN128" s="15" t="str">
        <f t="shared" si="125"/>
        <v/>
      </c>
      <c r="AO128" s="15" t="str">
        <f t="shared" si="125"/>
        <v/>
      </c>
      <c r="AP128" s="15" t="str">
        <f t="shared" si="125"/>
        <v/>
      </c>
      <c r="AQ128" s="15" t="str">
        <f t="shared" si="125"/>
        <v/>
      </c>
      <c r="AR128" s="15" t="str">
        <f t="shared" si="125"/>
        <v/>
      </c>
      <c r="AS128" s="15" t="str">
        <f t="shared" si="125"/>
        <v/>
      </c>
      <c r="AT128" s="15" t="str">
        <f t="shared" si="125"/>
        <v/>
      </c>
      <c r="AU128" s="15" t="str">
        <f t="shared" si="125"/>
        <v/>
      </c>
      <c r="AV128" s="15" t="str">
        <f t="shared" si="125"/>
        <v/>
      </c>
      <c r="AW128" s="15" t="str">
        <f t="shared" si="125"/>
        <v/>
      </c>
      <c r="AX128" s="15" t="str">
        <f t="shared" si="125"/>
        <v/>
      </c>
      <c r="AY128" s="15" t="str">
        <f t="shared" si="125"/>
        <v/>
      </c>
    </row>
    <row r="129" ht="18.0" customHeight="1">
      <c r="A129" s="13" t="str">
        <f t="shared" si="1"/>
        <v/>
      </c>
      <c r="B129" s="13" t="str">
        <f t="shared" si="2"/>
        <v/>
      </c>
      <c r="C129" s="12" t="str">
        <f t="shared" si="3"/>
        <v/>
      </c>
      <c r="D129" s="12" t="str">
        <f t="shared" si="4"/>
        <v/>
      </c>
      <c r="E129" s="12" t="str">
        <f t="shared" si="5"/>
        <v/>
      </c>
      <c r="F129" s="12" t="str">
        <f t="shared" si="6"/>
        <v/>
      </c>
      <c r="G129" s="12" t="str">
        <f t="shared" si="7"/>
        <v/>
      </c>
      <c r="H129" s="12" t="str">
        <f t="shared" si="8"/>
        <v/>
      </c>
      <c r="I129" s="12" t="str">
        <f t="shared" si="9"/>
        <v/>
      </c>
      <c r="J129" s="12" t="str">
        <f t="shared" si="10"/>
        <v/>
      </c>
      <c r="L129" s="15" t="str">
        <f t="shared" ref="L129:AY129" si="126">IF(L$13="","",IF(AND(L$13&gt;$H128,L$13&lt;=$I128),IF(AND(MOD($B$6,2)=1,L$13=ROUNDUP($J128,0)),"0",IF(L$13=INT($H128)+1,ROUNDDOWN(ABS(L$13-$J128),0),IF(L$13=INT($I128),ROUNDUP(ABS(L$13-$J128),0),""))),""))</f>
        <v/>
      </c>
      <c r="M129" s="15" t="str">
        <f t="shared" si="126"/>
        <v/>
      </c>
      <c r="N129" s="15" t="str">
        <f t="shared" si="126"/>
        <v/>
      </c>
      <c r="O129" s="15" t="str">
        <f t="shared" si="126"/>
        <v/>
      </c>
      <c r="P129" s="15" t="str">
        <f t="shared" si="126"/>
        <v/>
      </c>
      <c r="Q129" s="15" t="str">
        <f t="shared" si="126"/>
        <v/>
      </c>
      <c r="R129" s="15" t="str">
        <f t="shared" si="126"/>
        <v/>
      </c>
      <c r="S129" s="15" t="str">
        <f t="shared" si="126"/>
        <v/>
      </c>
      <c r="T129" s="15" t="str">
        <f t="shared" si="126"/>
        <v/>
      </c>
      <c r="U129" s="15" t="str">
        <f t="shared" si="126"/>
        <v/>
      </c>
      <c r="V129" s="15" t="str">
        <f t="shared" si="126"/>
        <v/>
      </c>
      <c r="W129" s="15" t="str">
        <f t="shared" si="126"/>
        <v/>
      </c>
      <c r="X129" s="15" t="str">
        <f t="shared" si="126"/>
        <v/>
      </c>
      <c r="Y129" s="15" t="str">
        <f t="shared" si="126"/>
        <v/>
      </c>
      <c r="Z129" s="15" t="str">
        <f t="shared" si="126"/>
        <v/>
      </c>
      <c r="AA129" s="15" t="str">
        <f t="shared" si="126"/>
        <v/>
      </c>
      <c r="AB129" s="15" t="str">
        <f t="shared" si="126"/>
        <v/>
      </c>
      <c r="AC129" s="15" t="str">
        <f t="shared" si="126"/>
        <v/>
      </c>
      <c r="AD129" s="15" t="str">
        <f t="shared" si="126"/>
        <v/>
      </c>
      <c r="AE129" s="15" t="str">
        <f t="shared" si="126"/>
        <v/>
      </c>
      <c r="AF129" s="15" t="str">
        <f t="shared" si="126"/>
        <v/>
      </c>
      <c r="AG129" s="15" t="str">
        <f t="shared" si="126"/>
        <v/>
      </c>
      <c r="AH129" s="15" t="str">
        <f t="shared" si="126"/>
        <v/>
      </c>
      <c r="AI129" s="15" t="str">
        <f t="shared" si="126"/>
        <v/>
      </c>
      <c r="AJ129" s="15" t="str">
        <f t="shared" si="126"/>
        <v/>
      </c>
      <c r="AK129" s="15" t="str">
        <f t="shared" si="126"/>
        <v/>
      </c>
      <c r="AL129" s="15" t="str">
        <f t="shared" si="126"/>
        <v/>
      </c>
      <c r="AM129" s="15" t="str">
        <f t="shared" si="126"/>
        <v/>
      </c>
      <c r="AN129" s="15" t="str">
        <f t="shared" si="126"/>
        <v/>
      </c>
      <c r="AO129" s="15" t="str">
        <f t="shared" si="126"/>
        <v/>
      </c>
      <c r="AP129" s="15" t="str">
        <f t="shared" si="126"/>
        <v/>
      </c>
      <c r="AQ129" s="15" t="str">
        <f t="shared" si="126"/>
        <v/>
      </c>
      <c r="AR129" s="15" t="str">
        <f t="shared" si="126"/>
        <v/>
      </c>
      <c r="AS129" s="15" t="str">
        <f t="shared" si="126"/>
        <v/>
      </c>
      <c r="AT129" s="15" t="str">
        <f t="shared" si="126"/>
        <v/>
      </c>
      <c r="AU129" s="15" t="str">
        <f t="shared" si="126"/>
        <v/>
      </c>
      <c r="AV129" s="15" t="str">
        <f t="shared" si="126"/>
        <v/>
      </c>
      <c r="AW129" s="15" t="str">
        <f t="shared" si="126"/>
        <v/>
      </c>
      <c r="AX129" s="15" t="str">
        <f t="shared" si="126"/>
        <v/>
      </c>
      <c r="AY129" s="15" t="str">
        <f t="shared" si="126"/>
        <v/>
      </c>
    </row>
    <row r="130" ht="18.0" customHeight="1">
      <c r="A130" s="13" t="str">
        <f t="shared" si="1"/>
        <v/>
      </c>
      <c r="B130" s="13" t="str">
        <f t="shared" si="2"/>
        <v/>
      </c>
      <c r="C130" s="12" t="str">
        <f t="shared" si="3"/>
        <v/>
      </c>
      <c r="D130" s="12" t="str">
        <f t="shared" si="4"/>
        <v/>
      </c>
      <c r="E130" s="12" t="str">
        <f t="shared" si="5"/>
        <v/>
      </c>
      <c r="F130" s="12" t="str">
        <f t="shared" si="6"/>
        <v/>
      </c>
      <c r="G130" s="12" t="str">
        <f t="shared" si="7"/>
        <v/>
      </c>
      <c r="H130" s="12" t="str">
        <f t="shared" si="8"/>
        <v/>
      </c>
      <c r="I130" s="12" t="str">
        <f t="shared" si="9"/>
        <v/>
      </c>
      <c r="J130" s="12" t="str">
        <f t="shared" si="10"/>
        <v/>
      </c>
      <c r="L130" s="15" t="str">
        <f t="shared" ref="L130:AY130" si="127">IF(L$13="","",IF(AND(L$13&gt;$H129,L$13&lt;=$I129),IF(AND(MOD($B$6,2)=1,L$13=ROUNDUP($J129,0)),"0",IF(L$13=INT($H129)+1,ROUNDDOWN(ABS(L$13-$J129),0),IF(L$13=INT($I129),ROUNDUP(ABS(L$13-$J129),0),""))),""))</f>
        <v/>
      </c>
      <c r="M130" s="15" t="str">
        <f t="shared" si="127"/>
        <v/>
      </c>
      <c r="N130" s="15" t="str">
        <f t="shared" si="127"/>
        <v/>
      </c>
      <c r="O130" s="15" t="str">
        <f t="shared" si="127"/>
        <v/>
      </c>
      <c r="P130" s="15" t="str">
        <f t="shared" si="127"/>
        <v/>
      </c>
      <c r="Q130" s="15" t="str">
        <f t="shared" si="127"/>
        <v/>
      </c>
      <c r="R130" s="15" t="str">
        <f t="shared" si="127"/>
        <v/>
      </c>
      <c r="S130" s="15" t="str">
        <f t="shared" si="127"/>
        <v/>
      </c>
      <c r="T130" s="15" t="str">
        <f t="shared" si="127"/>
        <v/>
      </c>
      <c r="U130" s="15" t="str">
        <f t="shared" si="127"/>
        <v/>
      </c>
      <c r="V130" s="15" t="str">
        <f t="shared" si="127"/>
        <v/>
      </c>
      <c r="W130" s="15" t="str">
        <f t="shared" si="127"/>
        <v/>
      </c>
      <c r="X130" s="15" t="str">
        <f t="shared" si="127"/>
        <v/>
      </c>
      <c r="Y130" s="15" t="str">
        <f t="shared" si="127"/>
        <v/>
      </c>
      <c r="Z130" s="15" t="str">
        <f t="shared" si="127"/>
        <v/>
      </c>
      <c r="AA130" s="15" t="str">
        <f t="shared" si="127"/>
        <v/>
      </c>
      <c r="AB130" s="15" t="str">
        <f t="shared" si="127"/>
        <v/>
      </c>
      <c r="AC130" s="15" t="str">
        <f t="shared" si="127"/>
        <v/>
      </c>
      <c r="AD130" s="15" t="str">
        <f t="shared" si="127"/>
        <v/>
      </c>
      <c r="AE130" s="15" t="str">
        <f t="shared" si="127"/>
        <v/>
      </c>
      <c r="AF130" s="15" t="str">
        <f t="shared" si="127"/>
        <v/>
      </c>
      <c r="AG130" s="15" t="str">
        <f t="shared" si="127"/>
        <v/>
      </c>
      <c r="AH130" s="15" t="str">
        <f t="shared" si="127"/>
        <v/>
      </c>
      <c r="AI130" s="15" t="str">
        <f t="shared" si="127"/>
        <v/>
      </c>
      <c r="AJ130" s="15" t="str">
        <f t="shared" si="127"/>
        <v/>
      </c>
      <c r="AK130" s="15" t="str">
        <f t="shared" si="127"/>
        <v/>
      </c>
      <c r="AL130" s="15" t="str">
        <f t="shared" si="127"/>
        <v/>
      </c>
      <c r="AM130" s="15" t="str">
        <f t="shared" si="127"/>
        <v/>
      </c>
      <c r="AN130" s="15" t="str">
        <f t="shared" si="127"/>
        <v/>
      </c>
      <c r="AO130" s="15" t="str">
        <f t="shared" si="127"/>
        <v/>
      </c>
      <c r="AP130" s="15" t="str">
        <f t="shared" si="127"/>
        <v/>
      </c>
      <c r="AQ130" s="15" t="str">
        <f t="shared" si="127"/>
        <v/>
      </c>
      <c r="AR130" s="15" t="str">
        <f t="shared" si="127"/>
        <v/>
      </c>
      <c r="AS130" s="15" t="str">
        <f t="shared" si="127"/>
        <v/>
      </c>
      <c r="AT130" s="15" t="str">
        <f t="shared" si="127"/>
        <v/>
      </c>
      <c r="AU130" s="15" t="str">
        <f t="shared" si="127"/>
        <v/>
      </c>
      <c r="AV130" s="15" t="str">
        <f t="shared" si="127"/>
        <v/>
      </c>
      <c r="AW130" s="15" t="str">
        <f t="shared" si="127"/>
        <v/>
      </c>
      <c r="AX130" s="15" t="str">
        <f t="shared" si="127"/>
        <v/>
      </c>
      <c r="AY130" s="15" t="str">
        <f t="shared" si="127"/>
        <v/>
      </c>
    </row>
    <row r="131" ht="18.0" customHeight="1">
      <c r="A131" s="13" t="str">
        <f t="shared" si="1"/>
        <v/>
      </c>
      <c r="B131" s="13" t="str">
        <f t="shared" si="2"/>
        <v/>
      </c>
      <c r="C131" s="12" t="str">
        <f t="shared" si="3"/>
        <v/>
      </c>
      <c r="D131" s="12" t="str">
        <f t="shared" si="4"/>
        <v/>
      </c>
      <c r="E131" s="12" t="str">
        <f t="shared" si="5"/>
        <v/>
      </c>
      <c r="F131" s="12" t="str">
        <f t="shared" si="6"/>
        <v/>
      </c>
      <c r="G131" s="12" t="str">
        <f t="shared" si="7"/>
        <v/>
      </c>
      <c r="H131" s="12" t="str">
        <f t="shared" si="8"/>
        <v/>
      </c>
      <c r="I131" s="12" t="str">
        <f t="shared" si="9"/>
        <v/>
      </c>
      <c r="J131" s="12" t="str">
        <f t="shared" si="10"/>
        <v/>
      </c>
      <c r="L131" s="15" t="str">
        <f t="shared" ref="L131:AY131" si="128">IF(L$13="","",IF(AND(L$13&gt;$H130,L$13&lt;=$I130),IF(AND(MOD($B$6,2)=1,L$13=ROUNDUP($J130,0)),"0",IF(L$13=INT($H130)+1,ROUNDDOWN(ABS(L$13-$J130),0),IF(L$13=INT($I130),ROUNDUP(ABS(L$13-$J130),0),""))),""))</f>
        <v/>
      </c>
      <c r="M131" s="15" t="str">
        <f t="shared" si="128"/>
        <v/>
      </c>
      <c r="N131" s="15" t="str">
        <f t="shared" si="128"/>
        <v/>
      </c>
      <c r="O131" s="15" t="str">
        <f t="shared" si="128"/>
        <v/>
      </c>
      <c r="P131" s="15" t="str">
        <f t="shared" si="128"/>
        <v/>
      </c>
      <c r="Q131" s="15" t="str">
        <f t="shared" si="128"/>
        <v/>
      </c>
      <c r="R131" s="15" t="str">
        <f t="shared" si="128"/>
        <v/>
      </c>
      <c r="S131" s="15" t="str">
        <f t="shared" si="128"/>
        <v/>
      </c>
      <c r="T131" s="15" t="str">
        <f t="shared" si="128"/>
        <v/>
      </c>
      <c r="U131" s="15" t="str">
        <f t="shared" si="128"/>
        <v/>
      </c>
      <c r="V131" s="15" t="str">
        <f t="shared" si="128"/>
        <v/>
      </c>
      <c r="W131" s="15" t="str">
        <f t="shared" si="128"/>
        <v/>
      </c>
      <c r="X131" s="15" t="str">
        <f t="shared" si="128"/>
        <v/>
      </c>
      <c r="Y131" s="15" t="str">
        <f t="shared" si="128"/>
        <v/>
      </c>
      <c r="Z131" s="15" t="str">
        <f t="shared" si="128"/>
        <v/>
      </c>
      <c r="AA131" s="15" t="str">
        <f t="shared" si="128"/>
        <v/>
      </c>
      <c r="AB131" s="15" t="str">
        <f t="shared" si="128"/>
        <v/>
      </c>
      <c r="AC131" s="15" t="str">
        <f t="shared" si="128"/>
        <v/>
      </c>
      <c r="AD131" s="15" t="str">
        <f t="shared" si="128"/>
        <v/>
      </c>
      <c r="AE131" s="15" t="str">
        <f t="shared" si="128"/>
        <v/>
      </c>
      <c r="AF131" s="15" t="str">
        <f t="shared" si="128"/>
        <v/>
      </c>
      <c r="AG131" s="15" t="str">
        <f t="shared" si="128"/>
        <v/>
      </c>
      <c r="AH131" s="15" t="str">
        <f t="shared" si="128"/>
        <v/>
      </c>
      <c r="AI131" s="15" t="str">
        <f t="shared" si="128"/>
        <v/>
      </c>
      <c r="AJ131" s="15" t="str">
        <f t="shared" si="128"/>
        <v/>
      </c>
      <c r="AK131" s="15" t="str">
        <f t="shared" si="128"/>
        <v/>
      </c>
      <c r="AL131" s="15" t="str">
        <f t="shared" si="128"/>
        <v/>
      </c>
      <c r="AM131" s="15" t="str">
        <f t="shared" si="128"/>
        <v/>
      </c>
      <c r="AN131" s="15" t="str">
        <f t="shared" si="128"/>
        <v/>
      </c>
      <c r="AO131" s="15" t="str">
        <f t="shared" si="128"/>
        <v/>
      </c>
      <c r="AP131" s="15" t="str">
        <f t="shared" si="128"/>
        <v/>
      </c>
      <c r="AQ131" s="15" t="str">
        <f t="shared" si="128"/>
        <v/>
      </c>
      <c r="AR131" s="15" t="str">
        <f t="shared" si="128"/>
        <v/>
      </c>
      <c r="AS131" s="15" t="str">
        <f t="shared" si="128"/>
        <v/>
      </c>
      <c r="AT131" s="15" t="str">
        <f t="shared" si="128"/>
        <v/>
      </c>
      <c r="AU131" s="15" t="str">
        <f t="shared" si="128"/>
        <v/>
      </c>
      <c r="AV131" s="15" t="str">
        <f t="shared" si="128"/>
        <v/>
      </c>
      <c r="AW131" s="15" t="str">
        <f t="shared" si="128"/>
        <v/>
      </c>
      <c r="AX131" s="15" t="str">
        <f t="shared" si="128"/>
        <v/>
      </c>
      <c r="AY131" s="15" t="str">
        <f t="shared" si="128"/>
        <v/>
      </c>
    </row>
    <row r="132" ht="18.0" customHeight="1">
      <c r="A132" s="13" t="str">
        <f t="shared" si="1"/>
        <v/>
      </c>
      <c r="B132" s="13" t="str">
        <f t="shared" si="2"/>
        <v/>
      </c>
      <c r="C132" s="12" t="str">
        <f t="shared" si="3"/>
        <v/>
      </c>
      <c r="D132" s="12" t="str">
        <f t="shared" si="4"/>
        <v/>
      </c>
      <c r="E132" s="12" t="str">
        <f t="shared" si="5"/>
        <v/>
      </c>
      <c r="F132" s="12" t="str">
        <f t="shared" si="6"/>
        <v/>
      </c>
      <c r="G132" s="12" t="str">
        <f t="shared" si="7"/>
        <v/>
      </c>
      <c r="H132" s="12" t="str">
        <f t="shared" si="8"/>
        <v/>
      </c>
      <c r="I132" s="12" t="str">
        <f t="shared" si="9"/>
        <v/>
      </c>
      <c r="J132" s="12" t="str">
        <f t="shared" si="10"/>
        <v/>
      </c>
      <c r="L132" s="15" t="str">
        <f t="shared" ref="L132:AY132" si="129">IF(L$13="","",IF(AND(L$13&gt;$H131,L$13&lt;=$I131),IF(AND(MOD($B$6,2)=1,L$13=ROUNDUP($J131,0)),"0",IF(L$13=INT($H131)+1,ROUNDDOWN(ABS(L$13-$J131),0),IF(L$13=INT($I131),ROUNDUP(ABS(L$13-$J131),0),""))),""))</f>
        <v/>
      </c>
      <c r="M132" s="15" t="str">
        <f t="shared" si="129"/>
        <v/>
      </c>
      <c r="N132" s="15" t="str">
        <f t="shared" si="129"/>
        <v/>
      </c>
      <c r="O132" s="15" t="str">
        <f t="shared" si="129"/>
        <v/>
      </c>
      <c r="P132" s="15" t="str">
        <f t="shared" si="129"/>
        <v/>
      </c>
      <c r="Q132" s="15" t="str">
        <f t="shared" si="129"/>
        <v/>
      </c>
      <c r="R132" s="15" t="str">
        <f t="shared" si="129"/>
        <v/>
      </c>
      <c r="S132" s="15" t="str">
        <f t="shared" si="129"/>
        <v/>
      </c>
      <c r="T132" s="15" t="str">
        <f t="shared" si="129"/>
        <v/>
      </c>
      <c r="U132" s="15" t="str">
        <f t="shared" si="129"/>
        <v/>
      </c>
      <c r="V132" s="15" t="str">
        <f t="shared" si="129"/>
        <v/>
      </c>
      <c r="W132" s="15" t="str">
        <f t="shared" si="129"/>
        <v/>
      </c>
      <c r="X132" s="15" t="str">
        <f t="shared" si="129"/>
        <v/>
      </c>
      <c r="Y132" s="15" t="str">
        <f t="shared" si="129"/>
        <v/>
      </c>
      <c r="Z132" s="15" t="str">
        <f t="shared" si="129"/>
        <v/>
      </c>
      <c r="AA132" s="15" t="str">
        <f t="shared" si="129"/>
        <v/>
      </c>
      <c r="AB132" s="15" t="str">
        <f t="shared" si="129"/>
        <v/>
      </c>
      <c r="AC132" s="15" t="str">
        <f t="shared" si="129"/>
        <v/>
      </c>
      <c r="AD132" s="15" t="str">
        <f t="shared" si="129"/>
        <v/>
      </c>
      <c r="AE132" s="15" t="str">
        <f t="shared" si="129"/>
        <v/>
      </c>
      <c r="AF132" s="15" t="str">
        <f t="shared" si="129"/>
        <v/>
      </c>
      <c r="AG132" s="15" t="str">
        <f t="shared" si="129"/>
        <v/>
      </c>
      <c r="AH132" s="15" t="str">
        <f t="shared" si="129"/>
        <v/>
      </c>
      <c r="AI132" s="15" t="str">
        <f t="shared" si="129"/>
        <v/>
      </c>
      <c r="AJ132" s="15" t="str">
        <f t="shared" si="129"/>
        <v/>
      </c>
      <c r="AK132" s="15" t="str">
        <f t="shared" si="129"/>
        <v/>
      </c>
      <c r="AL132" s="15" t="str">
        <f t="shared" si="129"/>
        <v/>
      </c>
      <c r="AM132" s="15" t="str">
        <f t="shared" si="129"/>
        <v/>
      </c>
      <c r="AN132" s="15" t="str">
        <f t="shared" si="129"/>
        <v/>
      </c>
      <c r="AO132" s="15" t="str">
        <f t="shared" si="129"/>
        <v/>
      </c>
      <c r="AP132" s="15" t="str">
        <f t="shared" si="129"/>
        <v/>
      </c>
      <c r="AQ132" s="15" t="str">
        <f t="shared" si="129"/>
        <v/>
      </c>
      <c r="AR132" s="15" t="str">
        <f t="shared" si="129"/>
        <v/>
      </c>
      <c r="AS132" s="15" t="str">
        <f t="shared" si="129"/>
        <v/>
      </c>
      <c r="AT132" s="15" t="str">
        <f t="shared" si="129"/>
        <v/>
      </c>
      <c r="AU132" s="15" t="str">
        <f t="shared" si="129"/>
        <v/>
      </c>
      <c r="AV132" s="15" t="str">
        <f t="shared" si="129"/>
        <v/>
      </c>
      <c r="AW132" s="15" t="str">
        <f t="shared" si="129"/>
        <v/>
      </c>
      <c r="AX132" s="15" t="str">
        <f t="shared" si="129"/>
        <v/>
      </c>
      <c r="AY132" s="15" t="str">
        <f t="shared" si="129"/>
        <v/>
      </c>
    </row>
    <row r="133" ht="18.0" customHeight="1">
      <c r="A133" s="13" t="str">
        <f t="shared" si="1"/>
        <v/>
      </c>
      <c r="B133" s="13" t="str">
        <f t="shared" si="2"/>
        <v/>
      </c>
      <c r="C133" s="12" t="str">
        <f t="shared" si="3"/>
        <v/>
      </c>
      <c r="D133" s="12" t="str">
        <f t="shared" si="4"/>
        <v/>
      </c>
      <c r="E133" s="12" t="str">
        <f t="shared" si="5"/>
        <v/>
      </c>
      <c r="F133" s="12" t="str">
        <f t="shared" si="6"/>
        <v/>
      </c>
      <c r="G133" s="12" t="str">
        <f t="shared" si="7"/>
        <v/>
      </c>
      <c r="H133" s="12" t="str">
        <f t="shared" si="8"/>
        <v/>
      </c>
      <c r="I133" s="12" t="str">
        <f t="shared" si="9"/>
        <v/>
      </c>
      <c r="J133" s="12" t="str">
        <f t="shared" si="10"/>
        <v/>
      </c>
      <c r="L133" s="15" t="str">
        <f t="shared" ref="L133:AY133" si="130">IF(L$13="","",IF(AND(L$13&gt;$H132,L$13&lt;=$I132),IF(AND(MOD($B$6,2)=1,L$13=ROUNDUP($J132,0)),"0",IF(L$13=INT($H132)+1,ROUNDDOWN(ABS(L$13-$J132),0),IF(L$13=INT($I132),ROUNDUP(ABS(L$13-$J132),0),""))),""))</f>
        <v/>
      </c>
      <c r="M133" s="15" t="str">
        <f t="shared" si="130"/>
        <v/>
      </c>
      <c r="N133" s="15" t="str">
        <f t="shared" si="130"/>
        <v/>
      </c>
      <c r="O133" s="15" t="str">
        <f t="shared" si="130"/>
        <v/>
      </c>
      <c r="P133" s="15" t="str">
        <f t="shared" si="130"/>
        <v/>
      </c>
      <c r="Q133" s="15" t="str">
        <f t="shared" si="130"/>
        <v/>
      </c>
      <c r="R133" s="15" t="str">
        <f t="shared" si="130"/>
        <v/>
      </c>
      <c r="S133" s="15" t="str">
        <f t="shared" si="130"/>
        <v/>
      </c>
      <c r="T133" s="15" t="str">
        <f t="shared" si="130"/>
        <v/>
      </c>
      <c r="U133" s="15" t="str">
        <f t="shared" si="130"/>
        <v/>
      </c>
      <c r="V133" s="15" t="str">
        <f t="shared" si="130"/>
        <v/>
      </c>
      <c r="W133" s="15" t="str">
        <f t="shared" si="130"/>
        <v/>
      </c>
      <c r="X133" s="15" t="str">
        <f t="shared" si="130"/>
        <v/>
      </c>
      <c r="Y133" s="15" t="str">
        <f t="shared" si="130"/>
        <v/>
      </c>
      <c r="Z133" s="15" t="str">
        <f t="shared" si="130"/>
        <v/>
      </c>
      <c r="AA133" s="15" t="str">
        <f t="shared" si="130"/>
        <v/>
      </c>
      <c r="AB133" s="15" t="str">
        <f t="shared" si="130"/>
        <v/>
      </c>
      <c r="AC133" s="15" t="str">
        <f t="shared" si="130"/>
        <v/>
      </c>
      <c r="AD133" s="15" t="str">
        <f t="shared" si="130"/>
        <v/>
      </c>
      <c r="AE133" s="15" t="str">
        <f t="shared" si="130"/>
        <v/>
      </c>
      <c r="AF133" s="15" t="str">
        <f t="shared" si="130"/>
        <v/>
      </c>
      <c r="AG133" s="15" t="str">
        <f t="shared" si="130"/>
        <v/>
      </c>
      <c r="AH133" s="15" t="str">
        <f t="shared" si="130"/>
        <v/>
      </c>
      <c r="AI133" s="15" t="str">
        <f t="shared" si="130"/>
        <v/>
      </c>
      <c r="AJ133" s="15" t="str">
        <f t="shared" si="130"/>
        <v/>
      </c>
      <c r="AK133" s="15" t="str">
        <f t="shared" si="130"/>
        <v/>
      </c>
      <c r="AL133" s="15" t="str">
        <f t="shared" si="130"/>
        <v/>
      </c>
      <c r="AM133" s="15" t="str">
        <f t="shared" si="130"/>
        <v/>
      </c>
      <c r="AN133" s="15" t="str">
        <f t="shared" si="130"/>
        <v/>
      </c>
      <c r="AO133" s="15" t="str">
        <f t="shared" si="130"/>
        <v/>
      </c>
      <c r="AP133" s="15" t="str">
        <f t="shared" si="130"/>
        <v/>
      </c>
      <c r="AQ133" s="15" t="str">
        <f t="shared" si="130"/>
        <v/>
      </c>
      <c r="AR133" s="15" t="str">
        <f t="shared" si="130"/>
        <v/>
      </c>
      <c r="AS133" s="15" t="str">
        <f t="shared" si="130"/>
        <v/>
      </c>
      <c r="AT133" s="15" t="str">
        <f t="shared" si="130"/>
        <v/>
      </c>
      <c r="AU133" s="15" t="str">
        <f t="shared" si="130"/>
        <v/>
      </c>
      <c r="AV133" s="15" t="str">
        <f t="shared" si="130"/>
        <v/>
      </c>
      <c r="AW133" s="15" t="str">
        <f t="shared" si="130"/>
        <v/>
      </c>
      <c r="AX133" s="15" t="str">
        <f t="shared" si="130"/>
        <v/>
      </c>
      <c r="AY133" s="15" t="str">
        <f t="shared" si="130"/>
        <v/>
      </c>
    </row>
    <row r="134" ht="18.0" customHeight="1">
      <c r="A134" s="13" t="str">
        <f t="shared" si="1"/>
        <v/>
      </c>
      <c r="B134" s="13" t="str">
        <f t="shared" si="2"/>
        <v/>
      </c>
      <c r="C134" s="12" t="str">
        <f t="shared" si="3"/>
        <v/>
      </c>
      <c r="D134" s="12" t="str">
        <f t="shared" si="4"/>
        <v/>
      </c>
      <c r="E134" s="12" t="str">
        <f t="shared" si="5"/>
        <v/>
      </c>
      <c r="F134" s="12" t="str">
        <f t="shared" si="6"/>
        <v/>
      </c>
      <c r="G134" s="12" t="str">
        <f t="shared" si="7"/>
        <v/>
      </c>
      <c r="H134" s="12" t="str">
        <f t="shared" si="8"/>
        <v/>
      </c>
      <c r="I134" s="12" t="str">
        <f t="shared" si="9"/>
        <v/>
      </c>
      <c r="J134" s="12" t="str">
        <f t="shared" si="10"/>
        <v/>
      </c>
      <c r="L134" s="15" t="str">
        <f t="shared" ref="L134:AY134" si="131">IF(L$13="","",IF(AND(L$13&gt;$H133,L$13&lt;=$I133),IF(AND(MOD($B$6,2)=1,L$13=ROUNDUP($J133,0)),"0",IF(L$13=INT($H133)+1,ROUNDDOWN(ABS(L$13-$J133),0),IF(L$13=INT($I133),ROUNDUP(ABS(L$13-$J133),0),""))),""))</f>
        <v/>
      </c>
      <c r="M134" s="15" t="str">
        <f t="shared" si="131"/>
        <v/>
      </c>
      <c r="N134" s="15" t="str">
        <f t="shared" si="131"/>
        <v/>
      </c>
      <c r="O134" s="15" t="str">
        <f t="shared" si="131"/>
        <v/>
      </c>
      <c r="P134" s="15" t="str">
        <f t="shared" si="131"/>
        <v/>
      </c>
      <c r="Q134" s="15" t="str">
        <f t="shared" si="131"/>
        <v/>
      </c>
      <c r="R134" s="15" t="str">
        <f t="shared" si="131"/>
        <v/>
      </c>
      <c r="S134" s="15" t="str">
        <f t="shared" si="131"/>
        <v/>
      </c>
      <c r="T134" s="15" t="str">
        <f t="shared" si="131"/>
        <v/>
      </c>
      <c r="U134" s="15" t="str">
        <f t="shared" si="131"/>
        <v/>
      </c>
      <c r="V134" s="15" t="str">
        <f t="shared" si="131"/>
        <v/>
      </c>
      <c r="W134" s="15" t="str">
        <f t="shared" si="131"/>
        <v/>
      </c>
      <c r="X134" s="15" t="str">
        <f t="shared" si="131"/>
        <v/>
      </c>
      <c r="Y134" s="15" t="str">
        <f t="shared" si="131"/>
        <v/>
      </c>
      <c r="Z134" s="15" t="str">
        <f t="shared" si="131"/>
        <v/>
      </c>
      <c r="AA134" s="15" t="str">
        <f t="shared" si="131"/>
        <v/>
      </c>
      <c r="AB134" s="15" t="str">
        <f t="shared" si="131"/>
        <v/>
      </c>
      <c r="AC134" s="15" t="str">
        <f t="shared" si="131"/>
        <v/>
      </c>
      <c r="AD134" s="15" t="str">
        <f t="shared" si="131"/>
        <v/>
      </c>
      <c r="AE134" s="15" t="str">
        <f t="shared" si="131"/>
        <v/>
      </c>
      <c r="AF134" s="15" t="str">
        <f t="shared" si="131"/>
        <v/>
      </c>
      <c r="AG134" s="15" t="str">
        <f t="shared" si="131"/>
        <v/>
      </c>
      <c r="AH134" s="15" t="str">
        <f t="shared" si="131"/>
        <v/>
      </c>
      <c r="AI134" s="15" t="str">
        <f t="shared" si="131"/>
        <v/>
      </c>
      <c r="AJ134" s="15" t="str">
        <f t="shared" si="131"/>
        <v/>
      </c>
      <c r="AK134" s="15" t="str">
        <f t="shared" si="131"/>
        <v/>
      </c>
      <c r="AL134" s="15" t="str">
        <f t="shared" si="131"/>
        <v/>
      </c>
      <c r="AM134" s="15" t="str">
        <f t="shared" si="131"/>
        <v/>
      </c>
      <c r="AN134" s="15" t="str">
        <f t="shared" si="131"/>
        <v/>
      </c>
      <c r="AO134" s="15" t="str">
        <f t="shared" si="131"/>
        <v/>
      </c>
      <c r="AP134" s="15" t="str">
        <f t="shared" si="131"/>
        <v/>
      </c>
      <c r="AQ134" s="15" t="str">
        <f t="shared" si="131"/>
        <v/>
      </c>
      <c r="AR134" s="15" t="str">
        <f t="shared" si="131"/>
        <v/>
      </c>
      <c r="AS134" s="15" t="str">
        <f t="shared" si="131"/>
        <v/>
      </c>
      <c r="AT134" s="15" t="str">
        <f t="shared" si="131"/>
        <v/>
      </c>
      <c r="AU134" s="15" t="str">
        <f t="shared" si="131"/>
        <v/>
      </c>
      <c r="AV134" s="15" t="str">
        <f t="shared" si="131"/>
        <v/>
      </c>
      <c r="AW134" s="15" t="str">
        <f t="shared" si="131"/>
        <v/>
      </c>
      <c r="AX134" s="15" t="str">
        <f t="shared" si="131"/>
        <v/>
      </c>
      <c r="AY134" s="15" t="str">
        <f t="shared" si="131"/>
        <v/>
      </c>
    </row>
    <row r="135" ht="18.0" customHeight="1">
      <c r="A135" s="13" t="str">
        <f t="shared" si="1"/>
        <v/>
      </c>
      <c r="B135" s="13" t="str">
        <f t="shared" si="2"/>
        <v/>
      </c>
      <c r="C135" s="12" t="str">
        <f t="shared" si="3"/>
        <v/>
      </c>
      <c r="D135" s="12" t="str">
        <f t="shared" si="4"/>
        <v/>
      </c>
      <c r="E135" s="12" t="str">
        <f t="shared" si="5"/>
        <v/>
      </c>
      <c r="F135" s="12" t="str">
        <f t="shared" si="6"/>
        <v/>
      </c>
      <c r="G135" s="12" t="str">
        <f t="shared" si="7"/>
        <v/>
      </c>
      <c r="H135" s="12" t="str">
        <f t="shared" si="8"/>
        <v/>
      </c>
      <c r="I135" s="12" t="str">
        <f t="shared" si="9"/>
        <v/>
      </c>
      <c r="J135" s="12" t="str">
        <f t="shared" si="10"/>
        <v/>
      </c>
      <c r="L135" s="15" t="str">
        <f t="shared" ref="L135:AY135" si="132">IF(L$13="","",IF(AND(L$13&gt;$H134,L$13&lt;=$I134),IF(AND(MOD($B$6,2)=1,L$13=ROUNDUP($J134,0)),"0",IF(L$13=INT($H134)+1,ROUNDDOWN(ABS(L$13-$J134),0),IF(L$13=INT($I134),ROUNDUP(ABS(L$13-$J134),0),""))),""))</f>
        <v/>
      </c>
      <c r="M135" s="15" t="str">
        <f t="shared" si="132"/>
        <v/>
      </c>
      <c r="N135" s="15" t="str">
        <f t="shared" si="132"/>
        <v/>
      </c>
      <c r="O135" s="15" t="str">
        <f t="shared" si="132"/>
        <v/>
      </c>
      <c r="P135" s="15" t="str">
        <f t="shared" si="132"/>
        <v/>
      </c>
      <c r="Q135" s="15" t="str">
        <f t="shared" si="132"/>
        <v/>
      </c>
      <c r="R135" s="15" t="str">
        <f t="shared" si="132"/>
        <v/>
      </c>
      <c r="S135" s="15" t="str">
        <f t="shared" si="132"/>
        <v/>
      </c>
      <c r="T135" s="15" t="str">
        <f t="shared" si="132"/>
        <v/>
      </c>
      <c r="U135" s="15" t="str">
        <f t="shared" si="132"/>
        <v/>
      </c>
      <c r="V135" s="15" t="str">
        <f t="shared" si="132"/>
        <v/>
      </c>
      <c r="W135" s="15" t="str">
        <f t="shared" si="132"/>
        <v/>
      </c>
      <c r="X135" s="15" t="str">
        <f t="shared" si="132"/>
        <v/>
      </c>
      <c r="Y135" s="15" t="str">
        <f t="shared" si="132"/>
        <v/>
      </c>
      <c r="Z135" s="15" t="str">
        <f t="shared" si="132"/>
        <v/>
      </c>
      <c r="AA135" s="15" t="str">
        <f t="shared" si="132"/>
        <v/>
      </c>
      <c r="AB135" s="15" t="str">
        <f t="shared" si="132"/>
        <v/>
      </c>
      <c r="AC135" s="15" t="str">
        <f t="shared" si="132"/>
        <v/>
      </c>
      <c r="AD135" s="15" t="str">
        <f t="shared" si="132"/>
        <v/>
      </c>
      <c r="AE135" s="15" t="str">
        <f t="shared" si="132"/>
        <v/>
      </c>
      <c r="AF135" s="15" t="str">
        <f t="shared" si="132"/>
        <v/>
      </c>
      <c r="AG135" s="15" t="str">
        <f t="shared" si="132"/>
        <v/>
      </c>
      <c r="AH135" s="15" t="str">
        <f t="shared" si="132"/>
        <v/>
      </c>
      <c r="AI135" s="15" t="str">
        <f t="shared" si="132"/>
        <v/>
      </c>
      <c r="AJ135" s="15" t="str">
        <f t="shared" si="132"/>
        <v/>
      </c>
      <c r="AK135" s="15" t="str">
        <f t="shared" si="132"/>
        <v/>
      </c>
      <c r="AL135" s="15" t="str">
        <f t="shared" si="132"/>
        <v/>
      </c>
      <c r="AM135" s="15" t="str">
        <f t="shared" si="132"/>
        <v/>
      </c>
      <c r="AN135" s="15" t="str">
        <f t="shared" si="132"/>
        <v/>
      </c>
      <c r="AO135" s="15" t="str">
        <f t="shared" si="132"/>
        <v/>
      </c>
      <c r="AP135" s="15" t="str">
        <f t="shared" si="132"/>
        <v/>
      </c>
      <c r="AQ135" s="15" t="str">
        <f t="shared" si="132"/>
        <v/>
      </c>
      <c r="AR135" s="15" t="str">
        <f t="shared" si="132"/>
        <v/>
      </c>
      <c r="AS135" s="15" t="str">
        <f t="shared" si="132"/>
        <v/>
      </c>
      <c r="AT135" s="15" t="str">
        <f t="shared" si="132"/>
        <v/>
      </c>
      <c r="AU135" s="15" t="str">
        <f t="shared" si="132"/>
        <v/>
      </c>
      <c r="AV135" s="15" t="str">
        <f t="shared" si="132"/>
        <v/>
      </c>
      <c r="AW135" s="15" t="str">
        <f t="shared" si="132"/>
        <v/>
      </c>
      <c r="AX135" s="15" t="str">
        <f t="shared" si="132"/>
        <v/>
      </c>
      <c r="AY135" s="15" t="str">
        <f t="shared" si="132"/>
        <v/>
      </c>
    </row>
    <row r="136" ht="18.0" customHeight="1">
      <c r="A136" s="13" t="str">
        <f t="shared" si="1"/>
        <v/>
      </c>
      <c r="B136" s="13" t="str">
        <f t="shared" si="2"/>
        <v/>
      </c>
      <c r="C136" s="12" t="str">
        <f t="shared" si="3"/>
        <v/>
      </c>
      <c r="D136" s="12" t="str">
        <f t="shared" si="4"/>
        <v/>
      </c>
      <c r="E136" s="12" t="str">
        <f t="shared" si="5"/>
        <v/>
      </c>
      <c r="F136" s="12" t="str">
        <f t="shared" si="6"/>
        <v/>
      </c>
      <c r="G136" s="12" t="str">
        <f t="shared" si="7"/>
        <v/>
      </c>
      <c r="H136" s="12" t="str">
        <f t="shared" si="8"/>
        <v/>
      </c>
      <c r="I136" s="12" t="str">
        <f t="shared" si="9"/>
        <v/>
      </c>
      <c r="J136" s="12" t="str">
        <f t="shared" si="10"/>
        <v/>
      </c>
      <c r="L136" s="15" t="str">
        <f t="shared" ref="L136:AY136" si="133">IF(L$13="","",IF(AND(L$13&gt;$H135,L$13&lt;=$I135),IF(AND(MOD($B$6,2)=1,L$13=ROUNDUP($J135,0)),"0",IF(L$13=INT($H135)+1,ROUNDDOWN(ABS(L$13-$J135),0),IF(L$13=INT($I135),ROUNDUP(ABS(L$13-$J135),0),""))),""))</f>
        <v/>
      </c>
      <c r="M136" s="15" t="str">
        <f t="shared" si="133"/>
        <v/>
      </c>
      <c r="N136" s="15" t="str">
        <f t="shared" si="133"/>
        <v/>
      </c>
      <c r="O136" s="15" t="str">
        <f t="shared" si="133"/>
        <v/>
      </c>
      <c r="P136" s="15" t="str">
        <f t="shared" si="133"/>
        <v/>
      </c>
      <c r="Q136" s="15" t="str">
        <f t="shared" si="133"/>
        <v/>
      </c>
      <c r="R136" s="15" t="str">
        <f t="shared" si="133"/>
        <v/>
      </c>
      <c r="S136" s="15" t="str">
        <f t="shared" si="133"/>
        <v/>
      </c>
      <c r="T136" s="15" t="str">
        <f t="shared" si="133"/>
        <v/>
      </c>
      <c r="U136" s="15" t="str">
        <f t="shared" si="133"/>
        <v/>
      </c>
      <c r="V136" s="15" t="str">
        <f t="shared" si="133"/>
        <v/>
      </c>
      <c r="W136" s="15" t="str">
        <f t="shared" si="133"/>
        <v/>
      </c>
      <c r="X136" s="15" t="str">
        <f t="shared" si="133"/>
        <v/>
      </c>
      <c r="Y136" s="15" t="str">
        <f t="shared" si="133"/>
        <v/>
      </c>
      <c r="Z136" s="15" t="str">
        <f t="shared" si="133"/>
        <v/>
      </c>
      <c r="AA136" s="15" t="str">
        <f t="shared" si="133"/>
        <v/>
      </c>
      <c r="AB136" s="15" t="str">
        <f t="shared" si="133"/>
        <v/>
      </c>
      <c r="AC136" s="15" t="str">
        <f t="shared" si="133"/>
        <v/>
      </c>
      <c r="AD136" s="15" t="str">
        <f t="shared" si="133"/>
        <v/>
      </c>
      <c r="AE136" s="15" t="str">
        <f t="shared" si="133"/>
        <v/>
      </c>
      <c r="AF136" s="15" t="str">
        <f t="shared" si="133"/>
        <v/>
      </c>
      <c r="AG136" s="15" t="str">
        <f t="shared" si="133"/>
        <v/>
      </c>
      <c r="AH136" s="15" t="str">
        <f t="shared" si="133"/>
        <v/>
      </c>
      <c r="AI136" s="15" t="str">
        <f t="shared" si="133"/>
        <v/>
      </c>
      <c r="AJ136" s="15" t="str">
        <f t="shared" si="133"/>
        <v/>
      </c>
      <c r="AK136" s="15" t="str">
        <f t="shared" si="133"/>
        <v/>
      </c>
      <c r="AL136" s="15" t="str">
        <f t="shared" si="133"/>
        <v/>
      </c>
      <c r="AM136" s="15" t="str">
        <f t="shared" si="133"/>
        <v/>
      </c>
      <c r="AN136" s="15" t="str">
        <f t="shared" si="133"/>
        <v/>
      </c>
      <c r="AO136" s="15" t="str">
        <f t="shared" si="133"/>
        <v/>
      </c>
      <c r="AP136" s="15" t="str">
        <f t="shared" si="133"/>
        <v/>
      </c>
      <c r="AQ136" s="15" t="str">
        <f t="shared" si="133"/>
        <v/>
      </c>
      <c r="AR136" s="15" t="str">
        <f t="shared" si="133"/>
        <v/>
      </c>
      <c r="AS136" s="15" t="str">
        <f t="shared" si="133"/>
        <v/>
      </c>
      <c r="AT136" s="15" t="str">
        <f t="shared" si="133"/>
        <v/>
      </c>
      <c r="AU136" s="15" t="str">
        <f t="shared" si="133"/>
        <v/>
      </c>
      <c r="AV136" s="15" t="str">
        <f t="shared" si="133"/>
        <v/>
      </c>
      <c r="AW136" s="15" t="str">
        <f t="shared" si="133"/>
        <v/>
      </c>
      <c r="AX136" s="15" t="str">
        <f t="shared" si="133"/>
        <v/>
      </c>
      <c r="AY136" s="15" t="str">
        <f t="shared" si="133"/>
        <v/>
      </c>
    </row>
    <row r="137" ht="18.0" customHeight="1">
      <c r="A137" s="13" t="str">
        <f t="shared" si="1"/>
        <v/>
      </c>
      <c r="B137" s="13" t="str">
        <f t="shared" si="2"/>
        <v/>
      </c>
      <c r="C137" s="12" t="str">
        <f t="shared" si="3"/>
        <v/>
      </c>
      <c r="D137" s="12" t="str">
        <f t="shared" si="4"/>
        <v/>
      </c>
      <c r="E137" s="12" t="str">
        <f t="shared" si="5"/>
        <v/>
      </c>
      <c r="F137" s="12" t="str">
        <f t="shared" si="6"/>
        <v/>
      </c>
      <c r="G137" s="12" t="str">
        <f t="shared" si="7"/>
        <v/>
      </c>
      <c r="H137" s="12" t="str">
        <f t="shared" si="8"/>
        <v/>
      </c>
      <c r="I137" s="12" t="str">
        <f t="shared" si="9"/>
        <v/>
      </c>
      <c r="J137" s="12" t="str">
        <f t="shared" si="10"/>
        <v/>
      </c>
      <c r="L137" s="15" t="str">
        <f t="shared" ref="L137:AY137" si="134">IF(L$13="","",IF(AND(L$13&gt;$H136,L$13&lt;=$I136),IF(AND(MOD($B$6,2)=1,L$13=ROUNDUP($J136,0)),"0",IF(L$13=INT($H136)+1,ROUNDDOWN(ABS(L$13-$J136),0),IF(L$13=INT($I136),ROUNDUP(ABS(L$13-$J136),0),""))),""))</f>
        <v/>
      </c>
      <c r="M137" s="15" t="str">
        <f t="shared" si="134"/>
        <v/>
      </c>
      <c r="N137" s="15" t="str">
        <f t="shared" si="134"/>
        <v/>
      </c>
      <c r="O137" s="15" t="str">
        <f t="shared" si="134"/>
        <v/>
      </c>
      <c r="P137" s="15" t="str">
        <f t="shared" si="134"/>
        <v/>
      </c>
      <c r="Q137" s="15" t="str">
        <f t="shared" si="134"/>
        <v/>
      </c>
      <c r="R137" s="15" t="str">
        <f t="shared" si="134"/>
        <v/>
      </c>
      <c r="S137" s="15" t="str">
        <f t="shared" si="134"/>
        <v/>
      </c>
      <c r="T137" s="15" t="str">
        <f t="shared" si="134"/>
        <v/>
      </c>
      <c r="U137" s="15" t="str">
        <f t="shared" si="134"/>
        <v/>
      </c>
      <c r="V137" s="15" t="str">
        <f t="shared" si="134"/>
        <v/>
      </c>
      <c r="W137" s="15" t="str">
        <f t="shared" si="134"/>
        <v/>
      </c>
      <c r="X137" s="15" t="str">
        <f t="shared" si="134"/>
        <v/>
      </c>
      <c r="Y137" s="15" t="str">
        <f t="shared" si="134"/>
        <v/>
      </c>
      <c r="Z137" s="15" t="str">
        <f t="shared" si="134"/>
        <v/>
      </c>
      <c r="AA137" s="15" t="str">
        <f t="shared" si="134"/>
        <v/>
      </c>
      <c r="AB137" s="15" t="str">
        <f t="shared" si="134"/>
        <v/>
      </c>
      <c r="AC137" s="15" t="str">
        <f t="shared" si="134"/>
        <v/>
      </c>
      <c r="AD137" s="15" t="str">
        <f t="shared" si="134"/>
        <v/>
      </c>
      <c r="AE137" s="15" t="str">
        <f t="shared" si="134"/>
        <v/>
      </c>
      <c r="AF137" s="15" t="str">
        <f t="shared" si="134"/>
        <v/>
      </c>
      <c r="AG137" s="15" t="str">
        <f t="shared" si="134"/>
        <v/>
      </c>
      <c r="AH137" s="15" t="str">
        <f t="shared" si="134"/>
        <v/>
      </c>
      <c r="AI137" s="15" t="str">
        <f t="shared" si="134"/>
        <v/>
      </c>
      <c r="AJ137" s="15" t="str">
        <f t="shared" si="134"/>
        <v/>
      </c>
      <c r="AK137" s="15" t="str">
        <f t="shared" si="134"/>
        <v/>
      </c>
      <c r="AL137" s="15" t="str">
        <f t="shared" si="134"/>
        <v/>
      </c>
      <c r="AM137" s="15" t="str">
        <f t="shared" si="134"/>
        <v/>
      </c>
      <c r="AN137" s="15" t="str">
        <f t="shared" si="134"/>
        <v/>
      </c>
      <c r="AO137" s="15" t="str">
        <f t="shared" si="134"/>
        <v/>
      </c>
      <c r="AP137" s="15" t="str">
        <f t="shared" si="134"/>
        <v/>
      </c>
      <c r="AQ137" s="15" t="str">
        <f t="shared" si="134"/>
        <v/>
      </c>
      <c r="AR137" s="15" t="str">
        <f t="shared" si="134"/>
        <v/>
      </c>
      <c r="AS137" s="15" t="str">
        <f t="shared" si="134"/>
        <v/>
      </c>
      <c r="AT137" s="15" t="str">
        <f t="shared" si="134"/>
        <v/>
      </c>
      <c r="AU137" s="15" t="str">
        <f t="shared" si="134"/>
        <v/>
      </c>
      <c r="AV137" s="15" t="str">
        <f t="shared" si="134"/>
        <v/>
      </c>
      <c r="AW137" s="15" t="str">
        <f t="shared" si="134"/>
        <v/>
      </c>
      <c r="AX137" s="15" t="str">
        <f t="shared" si="134"/>
        <v/>
      </c>
      <c r="AY137" s="15" t="str">
        <f t="shared" si="134"/>
        <v/>
      </c>
    </row>
    <row r="138" ht="18.0" customHeight="1">
      <c r="A138" s="13" t="str">
        <f t="shared" si="1"/>
        <v/>
      </c>
      <c r="B138" s="13" t="str">
        <f t="shared" si="2"/>
        <v/>
      </c>
      <c r="C138" s="12" t="str">
        <f t="shared" si="3"/>
        <v/>
      </c>
      <c r="D138" s="12" t="str">
        <f t="shared" si="4"/>
        <v/>
      </c>
      <c r="E138" s="12" t="str">
        <f t="shared" si="5"/>
        <v/>
      </c>
      <c r="F138" s="12" t="str">
        <f t="shared" si="6"/>
        <v/>
      </c>
      <c r="G138" s="12" t="str">
        <f t="shared" si="7"/>
        <v/>
      </c>
      <c r="H138" s="12" t="str">
        <f t="shared" si="8"/>
        <v/>
      </c>
      <c r="I138" s="12" t="str">
        <f t="shared" si="9"/>
        <v/>
      </c>
      <c r="J138" s="12" t="str">
        <f t="shared" si="10"/>
        <v/>
      </c>
      <c r="L138" s="15" t="str">
        <f t="shared" ref="L138:AY138" si="135">IF(L$13="","",IF(AND(L$13&gt;$H137,L$13&lt;=$I137),IF(AND(MOD($B$6,2)=1,L$13=ROUNDUP($J137,0)),"0",IF(L$13=INT($H137)+1,ROUNDDOWN(ABS(L$13-$J137),0),IF(L$13=INT($I137),ROUNDUP(ABS(L$13-$J137),0),""))),""))</f>
        <v/>
      </c>
      <c r="M138" s="15" t="str">
        <f t="shared" si="135"/>
        <v/>
      </c>
      <c r="N138" s="15" t="str">
        <f t="shared" si="135"/>
        <v/>
      </c>
      <c r="O138" s="15" t="str">
        <f t="shared" si="135"/>
        <v/>
      </c>
      <c r="P138" s="15" t="str">
        <f t="shared" si="135"/>
        <v/>
      </c>
      <c r="Q138" s="15" t="str">
        <f t="shared" si="135"/>
        <v/>
      </c>
      <c r="R138" s="15" t="str">
        <f t="shared" si="135"/>
        <v/>
      </c>
      <c r="S138" s="15" t="str">
        <f t="shared" si="135"/>
        <v/>
      </c>
      <c r="T138" s="15" t="str">
        <f t="shared" si="135"/>
        <v/>
      </c>
      <c r="U138" s="15" t="str">
        <f t="shared" si="135"/>
        <v/>
      </c>
      <c r="V138" s="15" t="str">
        <f t="shared" si="135"/>
        <v/>
      </c>
      <c r="W138" s="15" t="str">
        <f t="shared" si="135"/>
        <v/>
      </c>
      <c r="X138" s="15" t="str">
        <f t="shared" si="135"/>
        <v/>
      </c>
      <c r="Y138" s="15" t="str">
        <f t="shared" si="135"/>
        <v/>
      </c>
      <c r="Z138" s="15" t="str">
        <f t="shared" si="135"/>
        <v/>
      </c>
      <c r="AA138" s="15" t="str">
        <f t="shared" si="135"/>
        <v/>
      </c>
      <c r="AB138" s="15" t="str">
        <f t="shared" si="135"/>
        <v/>
      </c>
      <c r="AC138" s="15" t="str">
        <f t="shared" si="135"/>
        <v/>
      </c>
      <c r="AD138" s="15" t="str">
        <f t="shared" si="135"/>
        <v/>
      </c>
      <c r="AE138" s="15" t="str">
        <f t="shared" si="135"/>
        <v/>
      </c>
      <c r="AF138" s="15" t="str">
        <f t="shared" si="135"/>
        <v/>
      </c>
      <c r="AG138" s="15" t="str">
        <f t="shared" si="135"/>
        <v/>
      </c>
      <c r="AH138" s="15" t="str">
        <f t="shared" si="135"/>
        <v/>
      </c>
      <c r="AI138" s="15" t="str">
        <f t="shared" si="135"/>
        <v/>
      </c>
      <c r="AJ138" s="15" t="str">
        <f t="shared" si="135"/>
        <v/>
      </c>
      <c r="AK138" s="15" t="str">
        <f t="shared" si="135"/>
        <v/>
      </c>
      <c r="AL138" s="15" t="str">
        <f t="shared" si="135"/>
        <v/>
      </c>
      <c r="AM138" s="15" t="str">
        <f t="shared" si="135"/>
        <v/>
      </c>
      <c r="AN138" s="15" t="str">
        <f t="shared" si="135"/>
        <v/>
      </c>
      <c r="AO138" s="15" t="str">
        <f t="shared" si="135"/>
        <v/>
      </c>
      <c r="AP138" s="15" t="str">
        <f t="shared" si="135"/>
        <v/>
      </c>
      <c r="AQ138" s="15" t="str">
        <f t="shared" si="135"/>
        <v/>
      </c>
      <c r="AR138" s="15" t="str">
        <f t="shared" si="135"/>
        <v/>
      </c>
      <c r="AS138" s="15" t="str">
        <f t="shared" si="135"/>
        <v/>
      </c>
      <c r="AT138" s="15" t="str">
        <f t="shared" si="135"/>
        <v/>
      </c>
      <c r="AU138" s="15" t="str">
        <f t="shared" si="135"/>
        <v/>
      </c>
      <c r="AV138" s="15" t="str">
        <f t="shared" si="135"/>
        <v/>
      </c>
      <c r="AW138" s="15" t="str">
        <f t="shared" si="135"/>
        <v/>
      </c>
      <c r="AX138" s="15" t="str">
        <f t="shared" si="135"/>
        <v/>
      </c>
      <c r="AY138" s="15" t="str">
        <f t="shared" si="135"/>
        <v/>
      </c>
    </row>
    <row r="139" ht="18.0" customHeight="1">
      <c r="A139" s="13" t="str">
        <f t="shared" si="1"/>
        <v/>
      </c>
      <c r="B139" s="13" t="str">
        <f t="shared" si="2"/>
        <v/>
      </c>
      <c r="C139" s="12" t="str">
        <f t="shared" si="3"/>
        <v/>
      </c>
      <c r="D139" s="12" t="str">
        <f t="shared" si="4"/>
        <v/>
      </c>
      <c r="E139" s="12" t="str">
        <f t="shared" si="5"/>
        <v/>
      </c>
      <c r="F139" s="12" t="str">
        <f t="shared" si="6"/>
        <v/>
      </c>
      <c r="G139" s="12" t="str">
        <f t="shared" si="7"/>
        <v/>
      </c>
      <c r="H139" s="12" t="str">
        <f t="shared" si="8"/>
        <v/>
      </c>
      <c r="I139" s="12" t="str">
        <f t="shared" si="9"/>
        <v/>
      </c>
      <c r="J139" s="12" t="str">
        <f t="shared" si="10"/>
        <v/>
      </c>
      <c r="L139" s="15" t="str">
        <f t="shared" ref="L139:AY139" si="136">IF(L$13="","",IF(AND(L$13&gt;$H138,L$13&lt;=$I138),IF(AND(MOD($B$6,2)=1,L$13=ROUNDUP($J138,0)),"0",IF(L$13=INT($H138)+1,ROUNDDOWN(ABS(L$13-$J138),0),IF(L$13=INT($I138),ROUNDUP(ABS(L$13-$J138),0),""))),""))</f>
        <v/>
      </c>
      <c r="M139" s="15" t="str">
        <f t="shared" si="136"/>
        <v/>
      </c>
      <c r="N139" s="15" t="str">
        <f t="shared" si="136"/>
        <v/>
      </c>
      <c r="O139" s="15" t="str">
        <f t="shared" si="136"/>
        <v/>
      </c>
      <c r="P139" s="15" t="str">
        <f t="shared" si="136"/>
        <v/>
      </c>
      <c r="Q139" s="15" t="str">
        <f t="shared" si="136"/>
        <v/>
      </c>
      <c r="R139" s="15" t="str">
        <f t="shared" si="136"/>
        <v/>
      </c>
      <c r="S139" s="15" t="str">
        <f t="shared" si="136"/>
        <v/>
      </c>
      <c r="T139" s="15" t="str">
        <f t="shared" si="136"/>
        <v/>
      </c>
      <c r="U139" s="15" t="str">
        <f t="shared" si="136"/>
        <v/>
      </c>
      <c r="V139" s="15" t="str">
        <f t="shared" si="136"/>
        <v/>
      </c>
      <c r="W139" s="15" t="str">
        <f t="shared" si="136"/>
        <v/>
      </c>
      <c r="X139" s="15" t="str">
        <f t="shared" si="136"/>
        <v/>
      </c>
      <c r="Y139" s="15" t="str">
        <f t="shared" si="136"/>
        <v/>
      </c>
      <c r="Z139" s="15" t="str">
        <f t="shared" si="136"/>
        <v/>
      </c>
      <c r="AA139" s="15" t="str">
        <f t="shared" si="136"/>
        <v/>
      </c>
      <c r="AB139" s="15" t="str">
        <f t="shared" si="136"/>
        <v/>
      </c>
      <c r="AC139" s="15" t="str">
        <f t="shared" si="136"/>
        <v/>
      </c>
      <c r="AD139" s="15" t="str">
        <f t="shared" si="136"/>
        <v/>
      </c>
      <c r="AE139" s="15" t="str">
        <f t="shared" si="136"/>
        <v/>
      </c>
      <c r="AF139" s="15" t="str">
        <f t="shared" si="136"/>
        <v/>
      </c>
      <c r="AG139" s="15" t="str">
        <f t="shared" si="136"/>
        <v/>
      </c>
      <c r="AH139" s="15" t="str">
        <f t="shared" si="136"/>
        <v/>
      </c>
      <c r="AI139" s="15" t="str">
        <f t="shared" si="136"/>
        <v/>
      </c>
      <c r="AJ139" s="15" t="str">
        <f t="shared" si="136"/>
        <v/>
      </c>
      <c r="AK139" s="15" t="str">
        <f t="shared" si="136"/>
        <v/>
      </c>
      <c r="AL139" s="15" t="str">
        <f t="shared" si="136"/>
        <v/>
      </c>
      <c r="AM139" s="15" t="str">
        <f t="shared" si="136"/>
        <v/>
      </c>
      <c r="AN139" s="15" t="str">
        <f t="shared" si="136"/>
        <v/>
      </c>
      <c r="AO139" s="15" t="str">
        <f t="shared" si="136"/>
        <v/>
      </c>
      <c r="AP139" s="15" t="str">
        <f t="shared" si="136"/>
        <v/>
      </c>
      <c r="AQ139" s="15" t="str">
        <f t="shared" si="136"/>
        <v/>
      </c>
      <c r="AR139" s="15" t="str">
        <f t="shared" si="136"/>
        <v/>
      </c>
      <c r="AS139" s="15" t="str">
        <f t="shared" si="136"/>
        <v/>
      </c>
      <c r="AT139" s="15" t="str">
        <f t="shared" si="136"/>
        <v/>
      </c>
      <c r="AU139" s="15" t="str">
        <f t="shared" si="136"/>
        <v/>
      </c>
      <c r="AV139" s="15" t="str">
        <f t="shared" si="136"/>
        <v/>
      </c>
      <c r="AW139" s="15" t="str">
        <f t="shared" si="136"/>
        <v/>
      </c>
      <c r="AX139" s="15" t="str">
        <f t="shared" si="136"/>
        <v/>
      </c>
      <c r="AY139" s="15" t="str">
        <f t="shared" si="136"/>
        <v/>
      </c>
    </row>
    <row r="140" ht="18.0" customHeight="1">
      <c r="A140" s="13" t="str">
        <f t="shared" si="1"/>
        <v/>
      </c>
      <c r="B140" s="13" t="str">
        <f t="shared" si="2"/>
        <v/>
      </c>
      <c r="C140" s="12" t="str">
        <f t="shared" si="3"/>
        <v/>
      </c>
      <c r="D140" s="12" t="str">
        <f t="shared" si="4"/>
        <v/>
      </c>
      <c r="E140" s="12" t="str">
        <f t="shared" si="5"/>
        <v/>
      </c>
      <c r="F140" s="12" t="str">
        <f t="shared" si="6"/>
        <v/>
      </c>
      <c r="G140" s="12" t="str">
        <f t="shared" si="7"/>
        <v/>
      </c>
      <c r="H140" s="12" t="str">
        <f t="shared" si="8"/>
        <v/>
      </c>
      <c r="I140" s="12" t="str">
        <f t="shared" si="9"/>
        <v/>
      </c>
      <c r="J140" s="12" t="str">
        <f t="shared" si="10"/>
        <v/>
      </c>
      <c r="L140" s="15" t="str">
        <f t="shared" ref="L140:AY140" si="137">IF(L$13="","",IF(AND(L$13&gt;$H139,L$13&lt;=$I139),IF(AND(MOD($B$6,2)=1,L$13=ROUNDUP($J139,0)),"0",IF(L$13=INT($H139)+1,ROUNDDOWN(ABS(L$13-$J139),0),IF(L$13=INT($I139),ROUNDUP(ABS(L$13-$J139),0),""))),""))</f>
        <v/>
      </c>
      <c r="M140" s="15" t="str">
        <f t="shared" si="137"/>
        <v/>
      </c>
      <c r="N140" s="15" t="str">
        <f t="shared" si="137"/>
        <v/>
      </c>
      <c r="O140" s="15" t="str">
        <f t="shared" si="137"/>
        <v/>
      </c>
      <c r="P140" s="15" t="str">
        <f t="shared" si="137"/>
        <v/>
      </c>
      <c r="Q140" s="15" t="str">
        <f t="shared" si="137"/>
        <v/>
      </c>
      <c r="R140" s="15" t="str">
        <f t="shared" si="137"/>
        <v/>
      </c>
      <c r="S140" s="15" t="str">
        <f t="shared" si="137"/>
        <v/>
      </c>
      <c r="T140" s="15" t="str">
        <f t="shared" si="137"/>
        <v/>
      </c>
      <c r="U140" s="15" t="str">
        <f t="shared" si="137"/>
        <v/>
      </c>
      <c r="V140" s="15" t="str">
        <f t="shared" si="137"/>
        <v/>
      </c>
      <c r="W140" s="15" t="str">
        <f t="shared" si="137"/>
        <v/>
      </c>
      <c r="X140" s="15" t="str">
        <f t="shared" si="137"/>
        <v/>
      </c>
      <c r="Y140" s="15" t="str">
        <f t="shared" si="137"/>
        <v/>
      </c>
      <c r="Z140" s="15" t="str">
        <f t="shared" si="137"/>
        <v/>
      </c>
      <c r="AA140" s="15" t="str">
        <f t="shared" si="137"/>
        <v/>
      </c>
      <c r="AB140" s="15" t="str">
        <f t="shared" si="137"/>
        <v/>
      </c>
      <c r="AC140" s="15" t="str">
        <f t="shared" si="137"/>
        <v/>
      </c>
      <c r="AD140" s="15" t="str">
        <f t="shared" si="137"/>
        <v/>
      </c>
      <c r="AE140" s="15" t="str">
        <f t="shared" si="137"/>
        <v/>
      </c>
      <c r="AF140" s="15" t="str">
        <f t="shared" si="137"/>
        <v/>
      </c>
      <c r="AG140" s="15" t="str">
        <f t="shared" si="137"/>
        <v/>
      </c>
      <c r="AH140" s="15" t="str">
        <f t="shared" si="137"/>
        <v/>
      </c>
      <c r="AI140" s="15" t="str">
        <f t="shared" si="137"/>
        <v/>
      </c>
      <c r="AJ140" s="15" t="str">
        <f t="shared" si="137"/>
        <v/>
      </c>
      <c r="AK140" s="15" t="str">
        <f t="shared" si="137"/>
        <v/>
      </c>
      <c r="AL140" s="15" t="str">
        <f t="shared" si="137"/>
        <v/>
      </c>
      <c r="AM140" s="15" t="str">
        <f t="shared" si="137"/>
        <v/>
      </c>
      <c r="AN140" s="15" t="str">
        <f t="shared" si="137"/>
        <v/>
      </c>
      <c r="AO140" s="15" t="str">
        <f t="shared" si="137"/>
        <v/>
      </c>
      <c r="AP140" s="15" t="str">
        <f t="shared" si="137"/>
        <v/>
      </c>
      <c r="AQ140" s="15" t="str">
        <f t="shared" si="137"/>
        <v/>
      </c>
      <c r="AR140" s="15" t="str">
        <f t="shared" si="137"/>
        <v/>
      </c>
      <c r="AS140" s="15" t="str">
        <f t="shared" si="137"/>
        <v/>
      </c>
      <c r="AT140" s="15" t="str">
        <f t="shared" si="137"/>
        <v/>
      </c>
      <c r="AU140" s="15" t="str">
        <f t="shared" si="137"/>
        <v/>
      </c>
      <c r="AV140" s="15" t="str">
        <f t="shared" si="137"/>
        <v/>
      </c>
      <c r="AW140" s="15" t="str">
        <f t="shared" si="137"/>
        <v/>
      </c>
      <c r="AX140" s="15" t="str">
        <f t="shared" si="137"/>
        <v/>
      </c>
      <c r="AY140" s="15" t="str">
        <f t="shared" si="137"/>
        <v/>
      </c>
    </row>
    <row r="141" ht="18.0" customHeight="1">
      <c r="A141" s="13" t="str">
        <f t="shared" si="1"/>
        <v/>
      </c>
      <c r="B141" s="13" t="str">
        <f t="shared" si="2"/>
        <v/>
      </c>
      <c r="C141" s="12" t="str">
        <f t="shared" si="3"/>
        <v/>
      </c>
      <c r="D141" s="12" t="str">
        <f t="shared" si="4"/>
        <v/>
      </c>
      <c r="E141" s="12" t="str">
        <f t="shared" si="5"/>
        <v/>
      </c>
      <c r="F141" s="12" t="str">
        <f t="shared" si="6"/>
        <v/>
      </c>
      <c r="G141" s="12" t="str">
        <f t="shared" si="7"/>
        <v/>
      </c>
      <c r="H141" s="12" t="str">
        <f t="shared" si="8"/>
        <v/>
      </c>
      <c r="I141" s="12" t="str">
        <f t="shared" si="9"/>
        <v/>
      </c>
      <c r="J141" s="12" t="str">
        <f t="shared" si="10"/>
        <v/>
      </c>
      <c r="L141" s="15" t="str">
        <f t="shared" ref="L141:AY141" si="138">IF(L$13="","",IF(AND(L$13&gt;$H140,L$13&lt;=$I140),IF(AND(MOD($B$6,2)=1,L$13=ROUNDUP($J140,0)),"0",IF(L$13=INT($H140)+1,ROUNDDOWN(ABS(L$13-$J140),0),IF(L$13=INT($I140),ROUNDUP(ABS(L$13-$J140),0),""))),""))</f>
        <v/>
      </c>
      <c r="M141" s="15" t="str">
        <f t="shared" si="138"/>
        <v/>
      </c>
      <c r="N141" s="15" t="str">
        <f t="shared" si="138"/>
        <v/>
      </c>
      <c r="O141" s="15" t="str">
        <f t="shared" si="138"/>
        <v/>
      </c>
      <c r="P141" s="15" t="str">
        <f t="shared" si="138"/>
        <v/>
      </c>
      <c r="Q141" s="15" t="str">
        <f t="shared" si="138"/>
        <v/>
      </c>
      <c r="R141" s="15" t="str">
        <f t="shared" si="138"/>
        <v/>
      </c>
      <c r="S141" s="15" t="str">
        <f t="shared" si="138"/>
        <v/>
      </c>
      <c r="T141" s="15" t="str">
        <f t="shared" si="138"/>
        <v/>
      </c>
      <c r="U141" s="15" t="str">
        <f t="shared" si="138"/>
        <v/>
      </c>
      <c r="V141" s="15" t="str">
        <f t="shared" si="138"/>
        <v/>
      </c>
      <c r="W141" s="15" t="str">
        <f t="shared" si="138"/>
        <v/>
      </c>
      <c r="X141" s="15" t="str">
        <f t="shared" si="138"/>
        <v/>
      </c>
      <c r="Y141" s="15" t="str">
        <f t="shared" si="138"/>
        <v/>
      </c>
      <c r="Z141" s="15" t="str">
        <f t="shared" si="138"/>
        <v/>
      </c>
      <c r="AA141" s="15" t="str">
        <f t="shared" si="138"/>
        <v/>
      </c>
      <c r="AB141" s="15" t="str">
        <f t="shared" si="138"/>
        <v/>
      </c>
      <c r="AC141" s="15" t="str">
        <f t="shared" si="138"/>
        <v/>
      </c>
      <c r="AD141" s="15" t="str">
        <f t="shared" si="138"/>
        <v/>
      </c>
      <c r="AE141" s="15" t="str">
        <f t="shared" si="138"/>
        <v/>
      </c>
      <c r="AF141" s="15" t="str">
        <f t="shared" si="138"/>
        <v/>
      </c>
      <c r="AG141" s="15" t="str">
        <f t="shared" si="138"/>
        <v/>
      </c>
      <c r="AH141" s="15" t="str">
        <f t="shared" si="138"/>
        <v/>
      </c>
      <c r="AI141" s="15" t="str">
        <f t="shared" si="138"/>
        <v/>
      </c>
      <c r="AJ141" s="15" t="str">
        <f t="shared" si="138"/>
        <v/>
      </c>
      <c r="AK141" s="15" t="str">
        <f t="shared" si="138"/>
        <v/>
      </c>
      <c r="AL141" s="15" t="str">
        <f t="shared" si="138"/>
        <v/>
      </c>
      <c r="AM141" s="15" t="str">
        <f t="shared" si="138"/>
        <v/>
      </c>
      <c r="AN141" s="15" t="str">
        <f t="shared" si="138"/>
        <v/>
      </c>
      <c r="AO141" s="15" t="str">
        <f t="shared" si="138"/>
        <v/>
      </c>
      <c r="AP141" s="15" t="str">
        <f t="shared" si="138"/>
        <v/>
      </c>
      <c r="AQ141" s="15" t="str">
        <f t="shared" si="138"/>
        <v/>
      </c>
      <c r="AR141" s="15" t="str">
        <f t="shared" si="138"/>
        <v/>
      </c>
      <c r="AS141" s="15" t="str">
        <f t="shared" si="138"/>
        <v/>
      </c>
      <c r="AT141" s="15" t="str">
        <f t="shared" si="138"/>
        <v/>
      </c>
      <c r="AU141" s="15" t="str">
        <f t="shared" si="138"/>
        <v/>
      </c>
      <c r="AV141" s="15" t="str">
        <f t="shared" si="138"/>
        <v/>
      </c>
      <c r="AW141" s="15" t="str">
        <f t="shared" si="138"/>
        <v/>
      </c>
      <c r="AX141" s="15" t="str">
        <f t="shared" si="138"/>
        <v/>
      </c>
      <c r="AY141" s="15" t="str">
        <f t="shared" si="138"/>
        <v/>
      </c>
    </row>
    <row r="142" ht="18.0" customHeight="1">
      <c r="A142" s="13" t="str">
        <f t="shared" si="1"/>
        <v/>
      </c>
      <c r="B142" s="13" t="str">
        <f t="shared" si="2"/>
        <v/>
      </c>
      <c r="C142" s="12" t="str">
        <f t="shared" si="3"/>
        <v/>
      </c>
      <c r="D142" s="12" t="str">
        <f t="shared" si="4"/>
        <v/>
      </c>
      <c r="E142" s="12" t="str">
        <f t="shared" si="5"/>
        <v/>
      </c>
      <c r="F142" s="12" t="str">
        <f t="shared" si="6"/>
        <v/>
      </c>
      <c r="G142" s="12" t="str">
        <f t="shared" si="7"/>
        <v/>
      </c>
      <c r="H142" s="12" t="str">
        <f t="shared" si="8"/>
        <v/>
      </c>
      <c r="I142" s="12" t="str">
        <f t="shared" si="9"/>
        <v/>
      </c>
      <c r="J142" s="12" t="str">
        <f t="shared" si="10"/>
        <v/>
      </c>
      <c r="L142" s="15" t="str">
        <f t="shared" ref="L142:AY142" si="139">IF(L$13="","",IF(AND(L$13&gt;$H141,L$13&lt;=$I141),IF(AND(MOD($B$6,2)=1,L$13=ROUNDUP($J141,0)),"0",IF(L$13=INT($H141)+1,ROUNDDOWN(ABS(L$13-$J141),0),IF(L$13=INT($I141),ROUNDUP(ABS(L$13-$J141),0),""))),""))</f>
        <v/>
      </c>
      <c r="M142" s="15" t="str">
        <f t="shared" si="139"/>
        <v/>
      </c>
      <c r="N142" s="15" t="str">
        <f t="shared" si="139"/>
        <v/>
      </c>
      <c r="O142" s="15" t="str">
        <f t="shared" si="139"/>
        <v/>
      </c>
      <c r="P142" s="15" t="str">
        <f t="shared" si="139"/>
        <v/>
      </c>
      <c r="Q142" s="15" t="str">
        <f t="shared" si="139"/>
        <v/>
      </c>
      <c r="R142" s="15" t="str">
        <f t="shared" si="139"/>
        <v/>
      </c>
      <c r="S142" s="15" t="str">
        <f t="shared" si="139"/>
        <v/>
      </c>
      <c r="T142" s="15" t="str">
        <f t="shared" si="139"/>
        <v/>
      </c>
      <c r="U142" s="15" t="str">
        <f t="shared" si="139"/>
        <v/>
      </c>
      <c r="V142" s="15" t="str">
        <f t="shared" si="139"/>
        <v/>
      </c>
      <c r="W142" s="15" t="str">
        <f t="shared" si="139"/>
        <v/>
      </c>
      <c r="X142" s="15" t="str">
        <f t="shared" si="139"/>
        <v/>
      </c>
      <c r="Y142" s="15" t="str">
        <f t="shared" si="139"/>
        <v/>
      </c>
      <c r="Z142" s="15" t="str">
        <f t="shared" si="139"/>
        <v/>
      </c>
      <c r="AA142" s="15" t="str">
        <f t="shared" si="139"/>
        <v/>
      </c>
      <c r="AB142" s="15" t="str">
        <f t="shared" si="139"/>
        <v/>
      </c>
      <c r="AC142" s="15" t="str">
        <f t="shared" si="139"/>
        <v/>
      </c>
      <c r="AD142" s="15" t="str">
        <f t="shared" si="139"/>
        <v/>
      </c>
      <c r="AE142" s="15" t="str">
        <f t="shared" si="139"/>
        <v/>
      </c>
      <c r="AF142" s="15" t="str">
        <f t="shared" si="139"/>
        <v/>
      </c>
      <c r="AG142" s="15" t="str">
        <f t="shared" si="139"/>
        <v/>
      </c>
      <c r="AH142" s="15" t="str">
        <f t="shared" si="139"/>
        <v/>
      </c>
      <c r="AI142" s="15" t="str">
        <f t="shared" si="139"/>
        <v/>
      </c>
      <c r="AJ142" s="15" t="str">
        <f t="shared" si="139"/>
        <v/>
      </c>
      <c r="AK142" s="15" t="str">
        <f t="shared" si="139"/>
        <v/>
      </c>
      <c r="AL142" s="15" t="str">
        <f t="shared" si="139"/>
        <v/>
      </c>
      <c r="AM142" s="15" t="str">
        <f t="shared" si="139"/>
        <v/>
      </c>
      <c r="AN142" s="15" t="str">
        <f t="shared" si="139"/>
        <v/>
      </c>
      <c r="AO142" s="15" t="str">
        <f t="shared" si="139"/>
        <v/>
      </c>
      <c r="AP142" s="15" t="str">
        <f t="shared" si="139"/>
        <v/>
      </c>
      <c r="AQ142" s="15" t="str">
        <f t="shared" si="139"/>
        <v/>
      </c>
      <c r="AR142" s="15" t="str">
        <f t="shared" si="139"/>
        <v/>
      </c>
      <c r="AS142" s="15" t="str">
        <f t="shared" si="139"/>
        <v/>
      </c>
      <c r="AT142" s="15" t="str">
        <f t="shared" si="139"/>
        <v/>
      </c>
      <c r="AU142" s="15" t="str">
        <f t="shared" si="139"/>
        <v/>
      </c>
      <c r="AV142" s="15" t="str">
        <f t="shared" si="139"/>
        <v/>
      </c>
      <c r="AW142" s="15" t="str">
        <f t="shared" si="139"/>
        <v/>
      </c>
      <c r="AX142" s="15" t="str">
        <f t="shared" si="139"/>
        <v/>
      </c>
      <c r="AY142" s="15" t="str">
        <f t="shared" si="139"/>
        <v/>
      </c>
    </row>
    <row r="143" ht="18.0" customHeight="1">
      <c r="A143" s="13" t="str">
        <f t="shared" si="1"/>
        <v/>
      </c>
      <c r="B143" s="13" t="str">
        <f t="shared" si="2"/>
        <v/>
      </c>
      <c r="C143" s="12" t="str">
        <f t="shared" si="3"/>
        <v/>
      </c>
      <c r="D143" s="12" t="str">
        <f t="shared" si="4"/>
        <v/>
      </c>
      <c r="E143" s="12" t="str">
        <f t="shared" si="5"/>
        <v/>
      </c>
      <c r="F143" s="12" t="str">
        <f t="shared" si="6"/>
        <v/>
      </c>
      <c r="G143" s="12" t="str">
        <f t="shared" si="7"/>
        <v/>
      </c>
      <c r="H143" s="12" t="str">
        <f t="shared" si="8"/>
        <v/>
      </c>
      <c r="I143" s="12" t="str">
        <f t="shared" si="9"/>
        <v/>
      </c>
      <c r="J143" s="12" t="str">
        <f t="shared" si="10"/>
        <v/>
      </c>
      <c r="L143" s="15" t="str">
        <f t="shared" ref="L143:AY143" si="140">IF(L$13="","",IF(AND(L$13&gt;$H142,L$13&lt;=$I142),IF(AND(MOD($B$6,2)=1,L$13=ROUNDUP($J142,0)),"0",IF(L$13=INT($H142)+1,ROUNDDOWN(ABS(L$13-$J142),0),IF(L$13=INT($I142),ROUNDUP(ABS(L$13-$J142),0),""))),""))</f>
        <v/>
      </c>
      <c r="M143" s="15" t="str">
        <f t="shared" si="140"/>
        <v/>
      </c>
      <c r="N143" s="15" t="str">
        <f t="shared" si="140"/>
        <v/>
      </c>
      <c r="O143" s="15" t="str">
        <f t="shared" si="140"/>
        <v/>
      </c>
      <c r="P143" s="15" t="str">
        <f t="shared" si="140"/>
        <v/>
      </c>
      <c r="Q143" s="15" t="str">
        <f t="shared" si="140"/>
        <v/>
      </c>
      <c r="R143" s="15" t="str">
        <f t="shared" si="140"/>
        <v/>
      </c>
      <c r="S143" s="15" t="str">
        <f t="shared" si="140"/>
        <v/>
      </c>
      <c r="T143" s="15" t="str">
        <f t="shared" si="140"/>
        <v/>
      </c>
      <c r="U143" s="15" t="str">
        <f t="shared" si="140"/>
        <v/>
      </c>
      <c r="V143" s="15" t="str">
        <f t="shared" si="140"/>
        <v/>
      </c>
      <c r="W143" s="15" t="str">
        <f t="shared" si="140"/>
        <v/>
      </c>
      <c r="X143" s="15" t="str">
        <f t="shared" si="140"/>
        <v/>
      </c>
      <c r="Y143" s="15" t="str">
        <f t="shared" si="140"/>
        <v/>
      </c>
      <c r="Z143" s="15" t="str">
        <f t="shared" si="140"/>
        <v/>
      </c>
      <c r="AA143" s="15" t="str">
        <f t="shared" si="140"/>
        <v/>
      </c>
      <c r="AB143" s="15" t="str">
        <f t="shared" si="140"/>
        <v/>
      </c>
      <c r="AC143" s="15" t="str">
        <f t="shared" si="140"/>
        <v/>
      </c>
      <c r="AD143" s="15" t="str">
        <f t="shared" si="140"/>
        <v/>
      </c>
      <c r="AE143" s="15" t="str">
        <f t="shared" si="140"/>
        <v/>
      </c>
      <c r="AF143" s="15" t="str">
        <f t="shared" si="140"/>
        <v/>
      </c>
      <c r="AG143" s="15" t="str">
        <f t="shared" si="140"/>
        <v/>
      </c>
      <c r="AH143" s="15" t="str">
        <f t="shared" si="140"/>
        <v/>
      </c>
      <c r="AI143" s="15" t="str">
        <f t="shared" si="140"/>
        <v/>
      </c>
      <c r="AJ143" s="15" t="str">
        <f t="shared" si="140"/>
        <v/>
      </c>
      <c r="AK143" s="15" t="str">
        <f t="shared" si="140"/>
        <v/>
      </c>
      <c r="AL143" s="15" t="str">
        <f t="shared" si="140"/>
        <v/>
      </c>
      <c r="AM143" s="15" t="str">
        <f t="shared" si="140"/>
        <v/>
      </c>
      <c r="AN143" s="15" t="str">
        <f t="shared" si="140"/>
        <v/>
      </c>
      <c r="AO143" s="15" t="str">
        <f t="shared" si="140"/>
        <v/>
      </c>
      <c r="AP143" s="15" t="str">
        <f t="shared" si="140"/>
        <v/>
      </c>
      <c r="AQ143" s="15" t="str">
        <f t="shared" si="140"/>
        <v/>
      </c>
      <c r="AR143" s="15" t="str">
        <f t="shared" si="140"/>
        <v/>
      </c>
      <c r="AS143" s="15" t="str">
        <f t="shared" si="140"/>
        <v/>
      </c>
      <c r="AT143" s="15" t="str">
        <f t="shared" si="140"/>
        <v/>
      </c>
      <c r="AU143" s="15" t="str">
        <f t="shared" si="140"/>
        <v/>
      </c>
      <c r="AV143" s="15" t="str">
        <f t="shared" si="140"/>
        <v/>
      </c>
      <c r="AW143" s="15" t="str">
        <f t="shared" si="140"/>
        <v/>
      </c>
      <c r="AX143" s="15" t="str">
        <f t="shared" si="140"/>
        <v/>
      </c>
      <c r="AY143" s="15" t="str">
        <f t="shared" si="140"/>
        <v/>
      </c>
    </row>
    <row r="144" ht="18.0" customHeight="1">
      <c r="A144" s="13" t="str">
        <f t="shared" si="1"/>
        <v/>
      </c>
      <c r="B144" s="13" t="str">
        <f t="shared" si="2"/>
        <v/>
      </c>
      <c r="C144" s="12" t="str">
        <f t="shared" si="3"/>
        <v/>
      </c>
      <c r="D144" s="12" t="str">
        <f t="shared" si="4"/>
        <v/>
      </c>
      <c r="E144" s="12" t="str">
        <f t="shared" si="5"/>
        <v/>
      </c>
      <c r="F144" s="12" t="str">
        <f t="shared" si="6"/>
        <v/>
      </c>
      <c r="G144" s="12" t="str">
        <f t="shared" si="7"/>
        <v/>
      </c>
      <c r="H144" s="12" t="str">
        <f t="shared" si="8"/>
        <v/>
      </c>
      <c r="I144" s="12" t="str">
        <f t="shared" si="9"/>
        <v/>
      </c>
      <c r="J144" s="12" t="str">
        <f t="shared" si="10"/>
        <v/>
      </c>
      <c r="L144" s="15" t="str">
        <f t="shared" ref="L144:AY144" si="141">IF(L$13="","",IF(AND(L$13&gt;$H143,L$13&lt;=$I143),IF(AND(MOD($B$6,2)=1,L$13=ROUNDUP($J143,0)),"0",IF(L$13=INT($H143)+1,ROUNDDOWN(ABS(L$13-$J143),0),IF(L$13=INT($I143),ROUNDUP(ABS(L$13-$J143),0),""))),""))</f>
        <v/>
      </c>
      <c r="M144" s="15" t="str">
        <f t="shared" si="141"/>
        <v/>
      </c>
      <c r="N144" s="15" t="str">
        <f t="shared" si="141"/>
        <v/>
      </c>
      <c r="O144" s="15" t="str">
        <f t="shared" si="141"/>
        <v/>
      </c>
      <c r="P144" s="15" t="str">
        <f t="shared" si="141"/>
        <v/>
      </c>
      <c r="Q144" s="15" t="str">
        <f t="shared" si="141"/>
        <v/>
      </c>
      <c r="R144" s="15" t="str">
        <f t="shared" si="141"/>
        <v/>
      </c>
      <c r="S144" s="15" t="str">
        <f t="shared" si="141"/>
        <v/>
      </c>
      <c r="T144" s="15" t="str">
        <f t="shared" si="141"/>
        <v/>
      </c>
      <c r="U144" s="15" t="str">
        <f t="shared" si="141"/>
        <v/>
      </c>
      <c r="V144" s="15" t="str">
        <f t="shared" si="141"/>
        <v/>
      </c>
      <c r="W144" s="15" t="str">
        <f t="shared" si="141"/>
        <v/>
      </c>
      <c r="X144" s="15" t="str">
        <f t="shared" si="141"/>
        <v/>
      </c>
      <c r="Y144" s="15" t="str">
        <f t="shared" si="141"/>
        <v/>
      </c>
      <c r="Z144" s="15" t="str">
        <f t="shared" si="141"/>
        <v/>
      </c>
      <c r="AA144" s="15" t="str">
        <f t="shared" si="141"/>
        <v/>
      </c>
      <c r="AB144" s="15" t="str">
        <f t="shared" si="141"/>
        <v/>
      </c>
      <c r="AC144" s="15" t="str">
        <f t="shared" si="141"/>
        <v/>
      </c>
      <c r="AD144" s="15" t="str">
        <f t="shared" si="141"/>
        <v/>
      </c>
      <c r="AE144" s="15" t="str">
        <f t="shared" si="141"/>
        <v/>
      </c>
      <c r="AF144" s="15" t="str">
        <f t="shared" si="141"/>
        <v/>
      </c>
      <c r="AG144" s="15" t="str">
        <f t="shared" si="141"/>
        <v/>
      </c>
      <c r="AH144" s="15" t="str">
        <f t="shared" si="141"/>
        <v/>
      </c>
      <c r="AI144" s="15" t="str">
        <f t="shared" si="141"/>
        <v/>
      </c>
      <c r="AJ144" s="15" t="str">
        <f t="shared" si="141"/>
        <v/>
      </c>
      <c r="AK144" s="15" t="str">
        <f t="shared" si="141"/>
        <v/>
      </c>
      <c r="AL144" s="15" t="str">
        <f t="shared" si="141"/>
        <v/>
      </c>
      <c r="AM144" s="15" t="str">
        <f t="shared" si="141"/>
        <v/>
      </c>
      <c r="AN144" s="15" t="str">
        <f t="shared" si="141"/>
        <v/>
      </c>
      <c r="AO144" s="15" t="str">
        <f t="shared" si="141"/>
        <v/>
      </c>
      <c r="AP144" s="15" t="str">
        <f t="shared" si="141"/>
        <v/>
      </c>
      <c r="AQ144" s="15" t="str">
        <f t="shared" si="141"/>
        <v/>
      </c>
      <c r="AR144" s="15" t="str">
        <f t="shared" si="141"/>
        <v/>
      </c>
      <c r="AS144" s="15" t="str">
        <f t="shared" si="141"/>
        <v/>
      </c>
      <c r="AT144" s="15" t="str">
        <f t="shared" si="141"/>
        <v/>
      </c>
      <c r="AU144" s="15" t="str">
        <f t="shared" si="141"/>
        <v/>
      </c>
      <c r="AV144" s="15" t="str">
        <f t="shared" si="141"/>
        <v/>
      </c>
      <c r="AW144" s="15" t="str">
        <f t="shared" si="141"/>
        <v/>
      </c>
      <c r="AX144" s="15" t="str">
        <f t="shared" si="141"/>
        <v/>
      </c>
      <c r="AY144" s="15" t="str">
        <f t="shared" si="141"/>
        <v/>
      </c>
    </row>
    <row r="145" ht="18.0" customHeight="1">
      <c r="A145" s="13" t="str">
        <f t="shared" si="1"/>
        <v/>
      </c>
      <c r="B145" s="13" t="str">
        <f t="shared" si="2"/>
        <v/>
      </c>
      <c r="C145" s="12" t="str">
        <f t="shared" si="3"/>
        <v/>
      </c>
      <c r="D145" s="12" t="str">
        <f t="shared" si="4"/>
        <v/>
      </c>
      <c r="E145" s="12" t="str">
        <f t="shared" si="5"/>
        <v/>
      </c>
      <c r="F145" s="12" t="str">
        <f t="shared" si="6"/>
        <v/>
      </c>
      <c r="G145" s="12" t="str">
        <f t="shared" si="7"/>
        <v/>
      </c>
      <c r="H145" s="12" t="str">
        <f t="shared" si="8"/>
        <v/>
      </c>
      <c r="I145" s="12" t="str">
        <f t="shared" si="9"/>
        <v/>
      </c>
      <c r="J145" s="12" t="str">
        <f t="shared" si="10"/>
        <v/>
      </c>
      <c r="L145" s="15" t="str">
        <f t="shared" ref="L145:AY145" si="142">IF(L$13="","",IF(AND(L$13&gt;$H144,L$13&lt;=$I144),IF(AND(MOD($B$6,2)=1,L$13=ROUNDUP($J144,0)),"0",IF(L$13=INT($H144)+1,ROUNDDOWN(ABS(L$13-$J144),0),IF(L$13=INT($I144),ROUNDUP(ABS(L$13-$J144),0),""))),""))</f>
        <v/>
      </c>
      <c r="M145" s="15" t="str">
        <f t="shared" si="142"/>
        <v/>
      </c>
      <c r="N145" s="15" t="str">
        <f t="shared" si="142"/>
        <v/>
      </c>
      <c r="O145" s="15" t="str">
        <f t="shared" si="142"/>
        <v/>
      </c>
      <c r="P145" s="15" t="str">
        <f t="shared" si="142"/>
        <v/>
      </c>
      <c r="Q145" s="15" t="str">
        <f t="shared" si="142"/>
        <v/>
      </c>
      <c r="R145" s="15" t="str">
        <f t="shared" si="142"/>
        <v/>
      </c>
      <c r="S145" s="15" t="str">
        <f t="shared" si="142"/>
        <v/>
      </c>
      <c r="T145" s="15" t="str">
        <f t="shared" si="142"/>
        <v/>
      </c>
      <c r="U145" s="15" t="str">
        <f t="shared" si="142"/>
        <v/>
      </c>
      <c r="V145" s="15" t="str">
        <f t="shared" si="142"/>
        <v/>
      </c>
      <c r="W145" s="15" t="str">
        <f t="shared" si="142"/>
        <v/>
      </c>
      <c r="X145" s="15" t="str">
        <f t="shared" si="142"/>
        <v/>
      </c>
      <c r="Y145" s="15" t="str">
        <f t="shared" si="142"/>
        <v/>
      </c>
      <c r="Z145" s="15" t="str">
        <f t="shared" si="142"/>
        <v/>
      </c>
      <c r="AA145" s="15" t="str">
        <f t="shared" si="142"/>
        <v/>
      </c>
      <c r="AB145" s="15" t="str">
        <f t="shared" si="142"/>
        <v/>
      </c>
      <c r="AC145" s="15" t="str">
        <f t="shared" si="142"/>
        <v/>
      </c>
      <c r="AD145" s="15" t="str">
        <f t="shared" si="142"/>
        <v/>
      </c>
      <c r="AE145" s="15" t="str">
        <f t="shared" si="142"/>
        <v/>
      </c>
      <c r="AF145" s="15" t="str">
        <f t="shared" si="142"/>
        <v/>
      </c>
      <c r="AG145" s="15" t="str">
        <f t="shared" si="142"/>
        <v/>
      </c>
      <c r="AH145" s="15" t="str">
        <f t="shared" si="142"/>
        <v/>
      </c>
      <c r="AI145" s="15" t="str">
        <f t="shared" si="142"/>
        <v/>
      </c>
      <c r="AJ145" s="15" t="str">
        <f t="shared" si="142"/>
        <v/>
      </c>
      <c r="AK145" s="15" t="str">
        <f t="shared" si="142"/>
        <v/>
      </c>
      <c r="AL145" s="15" t="str">
        <f t="shared" si="142"/>
        <v/>
      </c>
      <c r="AM145" s="15" t="str">
        <f t="shared" si="142"/>
        <v/>
      </c>
      <c r="AN145" s="15" t="str">
        <f t="shared" si="142"/>
        <v/>
      </c>
      <c r="AO145" s="15" t="str">
        <f t="shared" si="142"/>
        <v/>
      </c>
      <c r="AP145" s="15" t="str">
        <f t="shared" si="142"/>
        <v/>
      </c>
      <c r="AQ145" s="15" t="str">
        <f t="shared" si="142"/>
        <v/>
      </c>
      <c r="AR145" s="15" t="str">
        <f t="shared" si="142"/>
        <v/>
      </c>
      <c r="AS145" s="15" t="str">
        <f t="shared" si="142"/>
        <v/>
      </c>
      <c r="AT145" s="15" t="str">
        <f t="shared" si="142"/>
        <v/>
      </c>
      <c r="AU145" s="15" t="str">
        <f t="shared" si="142"/>
        <v/>
      </c>
      <c r="AV145" s="15" t="str">
        <f t="shared" si="142"/>
        <v/>
      </c>
      <c r="AW145" s="15" t="str">
        <f t="shared" si="142"/>
        <v/>
      </c>
      <c r="AX145" s="15" t="str">
        <f t="shared" si="142"/>
        <v/>
      </c>
      <c r="AY145" s="15" t="str">
        <f t="shared" si="142"/>
        <v/>
      </c>
    </row>
    <row r="146" ht="18.0" customHeight="1">
      <c r="A146" s="13" t="str">
        <f t="shared" si="1"/>
        <v/>
      </c>
      <c r="B146" s="13" t="str">
        <f t="shared" si="2"/>
        <v/>
      </c>
      <c r="C146" s="12" t="str">
        <f t="shared" si="3"/>
        <v/>
      </c>
      <c r="D146" s="12" t="str">
        <f t="shared" si="4"/>
        <v/>
      </c>
      <c r="E146" s="12" t="str">
        <f t="shared" si="5"/>
        <v/>
      </c>
      <c r="F146" s="12" t="str">
        <f t="shared" si="6"/>
        <v/>
      </c>
      <c r="G146" s="12" t="str">
        <f t="shared" si="7"/>
        <v/>
      </c>
      <c r="H146" s="12" t="str">
        <f t="shared" si="8"/>
        <v/>
      </c>
      <c r="I146" s="12" t="str">
        <f t="shared" si="9"/>
        <v/>
      </c>
      <c r="J146" s="12" t="str">
        <f t="shared" si="10"/>
        <v/>
      </c>
      <c r="L146" s="15" t="str">
        <f t="shared" ref="L146:AY146" si="143">IF(L$13="","",IF(AND(L$13&gt;$H145,L$13&lt;=$I145),IF(AND(MOD($B$6,2)=1,L$13=ROUNDUP($J145,0)),"0",IF(L$13=INT($H145)+1,ROUNDDOWN(ABS(L$13-$J145),0),IF(L$13=INT($I145),ROUNDUP(ABS(L$13-$J145),0),""))),""))</f>
        <v/>
      </c>
      <c r="M146" s="15" t="str">
        <f t="shared" si="143"/>
        <v/>
      </c>
      <c r="N146" s="15" t="str">
        <f t="shared" si="143"/>
        <v/>
      </c>
      <c r="O146" s="15" t="str">
        <f t="shared" si="143"/>
        <v/>
      </c>
      <c r="P146" s="15" t="str">
        <f t="shared" si="143"/>
        <v/>
      </c>
      <c r="Q146" s="15" t="str">
        <f t="shared" si="143"/>
        <v/>
      </c>
      <c r="R146" s="15" t="str">
        <f t="shared" si="143"/>
        <v/>
      </c>
      <c r="S146" s="15" t="str">
        <f t="shared" si="143"/>
        <v/>
      </c>
      <c r="T146" s="15" t="str">
        <f t="shared" si="143"/>
        <v/>
      </c>
      <c r="U146" s="15" t="str">
        <f t="shared" si="143"/>
        <v/>
      </c>
      <c r="V146" s="15" t="str">
        <f t="shared" si="143"/>
        <v/>
      </c>
      <c r="W146" s="15" t="str">
        <f t="shared" si="143"/>
        <v/>
      </c>
      <c r="X146" s="15" t="str">
        <f t="shared" si="143"/>
        <v/>
      </c>
      <c r="Y146" s="15" t="str">
        <f t="shared" si="143"/>
        <v/>
      </c>
      <c r="Z146" s="15" t="str">
        <f t="shared" si="143"/>
        <v/>
      </c>
      <c r="AA146" s="15" t="str">
        <f t="shared" si="143"/>
        <v/>
      </c>
      <c r="AB146" s="15" t="str">
        <f t="shared" si="143"/>
        <v/>
      </c>
      <c r="AC146" s="15" t="str">
        <f t="shared" si="143"/>
        <v/>
      </c>
      <c r="AD146" s="15" t="str">
        <f t="shared" si="143"/>
        <v/>
      </c>
      <c r="AE146" s="15" t="str">
        <f t="shared" si="143"/>
        <v/>
      </c>
      <c r="AF146" s="15" t="str">
        <f t="shared" si="143"/>
        <v/>
      </c>
      <c r="AG146" s="15" t="str">
        <f t="shared" si="143"/>
        <v/>
      </c>
      <c r="AH146" s="15" t="str">
        <f t="shared" si="143"/>
        <v/>
      </c>
      <c r="AI146" s="15" t="str">
        <f t="shared" si="143"/>
        <v/>
      </c>
      <c r="AJ146" s="15" t="str">
        <f t="shared" si="143"/>
        <v/>
      </c>
      <c r="AK146" s="15" t="str">
        <f t="shared" si="143"/>
        <v/>
      </c>
      <c r="AL146" s="15" t="str">
        <f t="shared" si="143"/>
        <v/>
      </c>
      <c r="AM146" s="15" t="str">
        <f t="shared" si="143"/>
        <v/>
      </c>
      <c r="AN146" s="15" t="str">
        <f t="shared" si="143"/>
        <v/>
      </c>
      <c r="AO146" s="15" t="str">
        <f t="shared" si="143"/>
        <v/>
      </c>
      <c r="AP146" s="15" t="str">
        <f t="shared" si="143"/>
        <v/>
      </c>
      <c r="AQ146" s="15" t="str">
        <f t="shared" si="143"/>
        <v/>
      </c>
      <c r="AR146" s="15" t="str">
        <f t="shared" si="143"/>
        <v/>
      </c>
      <c r="AS146" s="15" t="str">
        <f t="shared" si="143"/>
        <v/>
      </c>
      <c r="AT146" s="15" t="str">
        <f t="shared" si="143"/>
        <v/>
      </c>
      <c r="AU146" s="15" t="str">
        <f t="shared" si="143"/>
        <v/>
      </c>
      <c r="AV146" s="15" t="str">
        <f t="shared" si="143"/>
        <v/>
      </c>
      <c r="AW146" s="15" t="str">
        <f t="shared" si="143"/>
        <v/>
      </c>
      <c r="AX146" s="15" t="str">
        <f t="shared" si="143"/>
        <v/>
      </c>
      <c r="AY146" s="15" t="str">
        <f t="shared" si="143"/>
        <v/>
      </c>
    </row>
    <row r="147" ht="18.0" customHeight="1">
      <c r="A147" s="13" t="str">
        <f t="shared" si="1"/>
        <v/>
      </c>
      <c r="B147" s="13" t="str">
        <f t="shared" si="2"/>
        <v/>
      </c>
      <c r="C147" s="12" t="str">
        <f t="shared" si="3"/>
        <v/>
      </c>
      <c r="D147" s="12" t="str">
        <f t="shared" si="4"/>
        <v/>
      </c>
      <c r="E147" s="12" t="str">
        <f t="shared" si="5"/>
        <v/>
      </c>
      <c r="F147" s="12" t="str">
        <f t="shared" si="6"/>
        <v/>
      </c>
      <c r="G147" s="12" t="str">
        <f t="shared" si="7"/>
        <v/>
      </c>
      <c r="H147" s="12" t="str">
        <f t="shared" si="8"/>
        <v/>
      </c>
      <c r="I147" s="12" t="str">
        <f t="shared" si="9"/>
        <v/>
      </c>
      <c r="J147" s="12" t="str">
        <f t="shared" si="10"/>
        <v/>
      </c>
      <c r="L147" s="15" t="str">
        <f t="shared" ref="L147:AY147" si="144">IF(L$13="","",IF(AND(L$13&gt;$H146,L$13&lt;=$I146),IF(AND(MOD($B$6,2)=1,L$13=ROUNDUP($J146,0)),"0",IF(L$13=INT($H146)+1,ROUNDDOWN(ABS(L$13-$J146),0),IF(L$13=INT($I146),ROUNDUP(ABS(L$13-$J146),0),""))),""))</f>
        <v/>
      </c>
      <c r="M147" s="15" t="str">
        <f t="shared" si="144"/>
        <v/>
      </c>
      <c r="N147" s="15" t="str">
        <f t="shared" si="144"/>
        <v/>
      </c>
      <c r="O147" s="15" t="str">
        <f t="shared" si="144"/>
        <v/>
      </c>
      <c r="P147" s="15" t="str">
        <f t="shared" si="144"/>
        <v/>
      </c>
      <c r="Q147" s="15" t="str">
        <f t="shared" si="144"/>
        <v/>
      </c>
      <c r="R147" s="15" t="str">
        <f t="shared" si="144"/>
        <v/>
      </c>
      <c r="S147" s="15" t="str">
        <f t="shared" si="144"/>
        <v/>
      </c>
      <c r="T147" s="15" t="str">
        <f t="shared" si="144"/>
        <v/>
      </c>
      <c r="U147" s="15" t="str">
        <f t="shared" si="144"/>
        <v/>
      </c>
      <c r="V147" s="15" t="str">
        <f t="shared" si="144"/>
        <v/>
      </c>
      <c r="W147" s="15" t="str">
        <f t="shared" si="144"/>
        <v/>
      </c>
      <c r="X147" s="15" t="str">
        <f t="shared" si="144"/>
        <v/>
      </c>
      <c r="Y147" s="15" t="str">
        <f t="shared" si="144"/>
        <v/>
      </c>
      <c r="Z147" s="15" t="str">
        <f t="shared" si="144"/>
        <v/>
      </c>
      <c r="AA147" s="15" t="str">
        <f t="shared" si="144"/>
        <v/>
      </c>
      <c r="AB147" s="15" t="str">
        <f t="shared" si="144"/>
        <v/>
      </c>
      <c r="AC147" s="15" t="str">
        <f t="shared" si="144"/>
        <v/>
      </c>
      <c r="AD147" s="15" t="str">
        <f t="shared" si="144"/>
        <v/>
      </c>
      <c r="AE147" s="15" t="str">
        <f t="shared" si="144"/>
        <v/>
      </c>
      <c r="AF147" s="15" t="str">
        <f t="shared" si="144"/>
        <v/>
      </c>
      <c r="AG147" s="15" t="str">
        <f t="shared" si="144"/>
        <v/>
      </c>
      <c r="AH147" s="15" t="str">
        <f t="shared" si="144"/>
        <v/>
      </c>
      <c r="AI147" s="15" t="str">
        <f t="shared" si="144"/>
        <v/>
      </c>
      <c r="AJ147" s="15" t="str">
        <f t="shared" si="144"/>
        <v/>
      </c>
      <c r="AK147" s="15" t="str">
        <f t="shared" si="144"/>
        <v/>
      </c>
      <c r="AL147" s="15" t="str">
        <f t="shared" si="144"/>
        <v/>
      </c>
      <c r="AM147" s="15" t="str">
        <f t="shared" si="144"/>
        <v/>
      </c>
      <c r="AN147" s="15" t="str">
        <f t="shared" si="144"/>
        <v/>
      </c>
      <c r="AO147" s="15" t="str">
        <f t="shared" si="144"/>
        <v/>
      </c>
      <c r="AP147" s="15" t="str">
        <f t="shared" si="144"/>
        <v/>
      </c>
      <c r="AQ147" s="15" t="str">
        <f t="shared" si="144"/>
        <v/>
      </c>
      <c r="AR147" s="15" t="str">
        <f t="shared" si="144"/>
        <v/>
      </c>
      <c r="AS147" s="15" t="str">
        <f t="shared" si="144"/>
        <v/>
      </c>
      <c r="AT147" s="15" t="str">
        <f t="shared" si="144"/>
        <v/>
      </c>
      <c r="AU147" s="15" t="str">
        <f t="shared" si="144"/>
        <v/>
      </c>
      <c r="AV147" s="15" t="str">
        <f t="shared" si="144"/>
        <v/>
      </c>
      <c r="AW147" s="15" t="str">
        <f t="shared" si="144"/>
        <v/>
      </c>
      <c r="AX147" s="15" t="str">
        <f t="shared" si="144"/>
        <v/>
      </c>
      <c r="AY147" s="15" t="str">
        <f t="shared" si="144"/>
        <v/>
      </c>
    </row>
    <row r="148" ht="18.0" customHeight="1">
      <c r="A148" s="13" t="str">
        <f t="shared" si="1"/>
        <v/>
      </c>
      <c r="B148" s="13" t="str">
        <f t="shared" si="2"/>
        <v/>
      </c>
      <c r="C148" s="12" t="str">
        <f t="shared" si="3"/>
        <v/>
      </c>
      <c r="D148" s="12" t="str">
        <f t="shared" si="4"/>
        <v/>
      </c>
      <c r="E148" s="12" t="str">
        <f t="shared" si="5"/>
        <v/>
      </c>
      <c r="F148" s="12" t="str">
        <f t="shared" si="6"/>
        <v/>
      </c>
      <c r="G148" s="12" t="str">
        <f t="shared" si="7"/>
        <v/>
      </c>
      <c r="H148" s="12" t="str">
        <f t="shared" si="8"/>
        <v/>
      </c>
      <c r="I148" s="12" t="str">
        <f t="shared" si="9"/>
        <v/>
      </c>
      <c r="J148" s="12" t="str">
        <f t="shared" si="10"/>
        <v/>
      </c>
      <c r="L148" s="15" t="str">
        <f t="shared" ref="L148:AY148" si="145">IF(L$13="","",IF(AND(L$13&gt;$H147,L$13&lt;=$I147),IF(AND(MOD($B$6,2)=1,L$13=ROUNDUP($J147,0)),"0",IF(L$13=INT($H147)+1,ROUNDDOWN(ABS(L$13-$J147),0),IF(L$13=INT($I147),ROUNDUP(ABS(L$13-$J147),0),""))),""))</f>
        <v/>
      </c>
      <c r="M148" s="15" t="str">
        <f t="shared" si="145"/>
        <v/>
      </c>
      <c r="N148" s="15" t="str">
        <f t="shared" si="145"/>
        <v/>
      </c>
      <c r="O148" s="15" t="str">
        <f t="shared" si="145"/>
        <v/>
      </c>
      <c r="P148" s="15" t="str">
        <f t="shared" si="145"/>
        <v/>
      </c>
      <c r="Q148" s="15" t="str">
        <f t="shared" si="145"/>
        <v/>
      </c>
      <c r="R148" s="15" t="str">
        <f t="shared" si="145"/>
        <v/>
      </c>
      <c r="S148" s="15" t="str">
        <f t="shared" si="145"/>
        <v/>
      </c>
      <c r="T148" s="15" t="str">
        <f t="shared" si="145"/>
        <v/>
      </c>
      <c r="U148" s="15" t="str">
        <f t="shared" si="145"/>
        <v/>
      </c>
      <c r="V148" s="15" t="str">
        <f t="shared" si="145"/>
        <v/>
      </c>
      <c r="W148" s="15" t="str">
        <f t="shared" si="145"/>
        <v/>
      </c>
      <c r="X148" s="15" t="str">
        <f t="shared" si="145"/>
        <v/>
      </c>
      <c r="Y148" s="15" t="str">
        <f t="shared" si="145"/>
        <v/>
      </c>
      <c r="Z148" s="15" t="str">
        <f t="shared" si="145"/>
        <v/>
      </c>
      <c r="AA148" s="15" t="str">
        <f t="shared" si="145"/>
        <v/>
      </c>
      <c r="AB148" s="15" t="str">
        <f t="shared" si="145"/>
        <v/>
      </c>
      <c r="AC148" s="15" t="str">
        <f t="shared" si="145"/>
        <v/>
      </c>
      <c r="AD148" s="15" t="str">
        <f t="shared" si="145"/>
        <v/>
      </c>
      <c r="AE148" s="15" t="str">
        <f t="shared" si="145"/>
        <v/>
      </c>
      <c r="AF148" s="15" t="str">
        <f t="shared" si="145"/>
        <v/>
      </c>
      <c r="AG148" s="15" t="str">
        <f t="shared" si="145"/>
        <v/>
      </c>
      <c r="AH148" s="15" t="str">
        <f t="shared" si="145"/>
        <v/>
      </c>
      <c r="AI148" s="15" t="str">
        <f t="shared" si="145"/>
        <v/>
      </c>
      <c r="AJ148" s="15" t="str">
        <f t="shared" si="145"/>
        <v/>
      </c>
      <c r="AK148" s="15" t="str">
        <f t="shared" si="145"/>
        <v/>
      </c>
      <c r="AL148" s="15" t="str">
        <f t="shared" si="145"/>
        <v/>
      </c>
      <c r="AM148" s="15" t="str">
        <f t="shared" si="145"/>
        <v/>
      </c>
      <c r="AN148" s="15" t="str">
        <f t="shared" si="145"/>
        <v/>
      </c>
      <c r="AO148" s="15" t="str">
        <f t="shared" si="145"/>
        <v/>
      </c>
      <c r="AP148" s="15" t="str">
        <f t="shared" si="145"/>
        <v/>
      </c>
      <c r="AQ148" s="15" t="str">
        <f t="shared" si="145"/>
        <v/>
      </c>
      <c r="AR148" s="15" t="str">
        <f t="shared" si="145"/>
        <v/>
      </c>
      <c r="AS148" s="15" t="str">
        <f t="shared" si="145"/>
        <v/>
      </c>
      <c r="AT148" s="15" t="str">
        <f t="shared" si="145"/>
        <v/>
      </c>
      <c r="AU148" s="15" t="str">
        <f t="shared" si="145"/>
        <v/>
      </c>
      <c r="AV148" s="15" t="str">
        <f t="shared" si="145"/>
        <v/>
      </c>
      <c r="AW148" s="15" t="str">
        <f t="shared" si="145"/>
        <v/>
      </c>
      <c r="AX148" s="15" t="str">
        <f t="shared" si="145"/>
        <v/>
      </c>
      <c r="AY148" s="15" t="str">
        <f t="shared" si="145"/>
        <v/>
      </c>
    </row>
    <row r="149" ht="18.0" customHeight="1">
      <c r="A149" s="13" t="str">
        <f t="shared" si="1"/>
        <v/>
      </c>
      <c r="B149" s="13" t="str">
        <f t="shared" si="2"/>
        <v/>
      </c>
      <c r="C149" s="12" t="str">
        <f t="shared" si="3"/>
        <v/>
      </c>
      <c r="D149" s="12" t="str">
        <f t="shared" si="4"/>
        <v/>
      </c>
      <c r="E149" s="12" t="str">
        <f t="shared" si="5"/>
        <v/>
      </c>
      <c r="F149" s="12" t="str">
        <f t="shared" si="6"/>
        <v/>
      </c>
      <c r="G149" s="12" t="str">
        <f t="shared" si="7"/>
        <v/>
      </c>
      <c r="H149" s="12" t="str">
        <f t="shared" si="8"/>
        <v/>
      </c>
      <c r="I149" s="12" t="str">
        <f t="shared" si="9"/>
        <v/>
      </c>
      <c r="J149" s="12" t="str">
        <f t="shared" si="10"/>
        <v/>
      </c>
      <c r="L149" s="15" t="str">
        <f t="shared" ref="L149:AY149" si="146">IF(L$13="","",IF(AND(L$13&gt;$H148,L$13&lt;=$I148),IF(AND(MOD($B$6,2)=1,L$13=ROUNDUP($J148,0)),"0",IF(L$13=INT($H148)+1,ROUNDDOWN(ABS(L$13-$J148),0),IF(L$13=INT($I148),ROUNDUP(ABS(L$13-$J148),0),""))),""))</f>
        <v/>
      </c>
      <c r="M149" s="15" t="str">
        <f t="shared" si="146"/>
        <v/>
      </c>
      <c r="N149" s="15" t="str">
        <f t="shared" si="146"/>
        <v/>
      </c>
      <c r="O149" s="15" t="str">
        <f t="shared" si="146"/>
        <v/>
      </c>
      <c r="P149" s="15" t="str">
        <f t="shared" si="146"/>
        <v/>
      </c>
      <c r="Q149" s="15" t="str">
        <f t="shared" si="146"/>
        <v/>
      </c>
      <c r="R149" s="15" t="str">
        <f t="shared" si="146"/>
        <v/>
      </c>
      <c r="S149" s="15" t="str">
        <f t="shared" si="146"/>
        <v/>
      </c>
      <c r="T149" s="15" t="str">
        <f t="shared" si="146"/>
        <v/>
      </c>
      <c r="U149" s="15" t="str">
        <f t="shared" si="146"/>
        <v/>
      </c>
      <c r="V149" s="15" t="str">
        <f t="shared" si="146"/>
        <v/>
      </c>
      <c r="W149" s="15" t="str">
        <f t="shared" si="146"/>
        <v/>
      </c>
      <c r="X149" s="15" t="str">
        <f t="shared" si="146"/>
        <v/>
      </c>
      <c r="Y149" s="15" t="str">
        <f t="shared" si="146"/>
        <v/>
      </c>
      <c r="Z149" s="15" t="str">
        <f t="shared" si="146"/>
        <v/>
      </c>
      <c r="AA149" s="15" t="str">
        <f t="shared" si="146"/>
        <v/>
      </c>
      <c r="AB149" s="15" t="str">
        <f t="shared" si="146"/>
        <v/>
      </c>
      <c r="AC149" s="15" t="str">
        <f t="shared" si="146"/>
        <v/>
      </c>
      <c r="AD149" s="15" t="str">
        <f t="shared" si="146"/>
        <v/>
      </c>
      <c r="AE149" s="15" t="str">
        <f t="shared" si="146"/>
        <v/>
      </c>
      <c r="AF149" s="15" t="str">
        <f t="shared" si="146"/>
        <v/>
      </c>
      <c r="AG149" s="15" t="str">
        <f t="shared" si="146"/>
        <v/>
      </c>
      <c r="AH149" s="15" t="str">
        <f t="shared" si="146"/>
        <v/>
      </c>
      <c r="AI149" s="15" t="str">
        <f t="shared" si="146"/>
        <v/>
      </c>
      <c r="AJ149" s="15" t="str">
        <f t="shared" si="146"/>
        <v/>
      </c>
      <c r="AK149" s="15" t="str">
        <f t="shared" si="146"/>
        <v/>
      </c>
      <c r="AL149" s="15" t="str">
        <f t="shared" si="146"/>
        <v/>
      </c>
      <c r="AM149" s="15" t="str">
        <f t="shared" si="146"/>
        <v/>
      </c>
      <c r="AN149" s="15" t="str">
        <f t="shared" si="146"/>
        <v/>
      </c>
      <c r="AO149" s="15" t="str">
        <f t="shared" si="146"/>
        <v/>
      </c>
      <c r="AP149" s="15" t="str">
        <f t="shared" si="146"/>
        <v/>
      </c>
      <c r="AQ149" s="15" t="str">
        <f t="shared" si="146"/>
        <v/>
      </c>
      <c r="AR149" s="15" t="str">
        <f t="shared" si="146"/>
        <v/>
      </c>
      <c r="AS149" s="15" t="str">
        <f t="shared" si="146"/>
        <v/>
      </c>
      <c r="AT149" s="15" t="str">
        <f t="shared" si="146"/>
        <v/>
      </c>
      <c r="AU149" s="15" t="str">
        <f t="shared" si="146"/>
        <v/>
      </c>
      <c r="AV149" s="15" t="str">
        <f t="shared" si="146"/>
        <v/>
      </c>
      <c r="AW149" s="15" t="str">
        <f t="shared" si="146"/>
        <v/>
      </c>
      <c r="AX149" s="15" t="str">
        <f t="shared" si="146"/>
        <v/>
      </c>
      <c r="AY149" s="15" t="str">
        <f t="shared" si="146"/>
        <v/>
      </c>
    </row>
    <row r="150" ht="18.0" customHeight="1">
      <c r="A150" s="13" t="str">
        <f t="shared" si="1"/>
        <v/>
      </c>
      <c r="B150" s="13" t="str">
        <f t="shared" si="2"/>
        <v/>
      </c>
      <c r="C150" s="12" t="str">
        <f t="shared" si="3"/>
        <v/>
      </c>
      <c r="D150" s="12" t="str">
        <f t="shared" si="4"/>
        <v/>
      </c>
      <c r="E150" s="12" t="str">
        <f t="shared" si="5"/>
        <v/>
      </c>
      <c r="F150" s="12" t="str">
        <f t="shared" si="6"/>
        <v/>
      </c>
      <c r="G150" s="12" t="str">
        <f t="shared" si="7"/>
        <v/>
      </c>
      <c r="H150" s="12" t="str">
        <f t="shared" si="8"/>
        <v/>
      </c>
      <c r="I150" s="12" t="str">
        <f t="shared" si="9"/>
        <v/>
      </c>
      <c r="J150" s="12" t="str">
        <f t="shared" si="10"/>
        <v/>
      </c>
      <c r="L150" s="15" t="str">
        <f t="shared" ref="L150:AY150" si="147">IF(L$13="","",IF(AND(L$13&gt;$H149,L$13&lt;=$I149),IF(AND(MOD($B$6,2)=1,L$13=ROUNDUP($J149,0)),"0",IF(L$13=INT($H149)+1,ROUNDDOWN(ABS(L$13-$J149),0),IF(L$13=INT($I149),ROUNDUP(ABS(L$13-$J149),0),""))),""))</f>
        <v/>
      </c>
      <c r="M150" s="15" t="str">
        <f t="shared" si="147"/>
        <v/>
      </c>
      <c r="N150" s="15" t="str">
        <f t="shared" si="147"/>
        <v/>
      </c>
      <c r="O150" s="15" t="str">
        <f t="shared" si="147"/>
        <v/>
      </c>
      <c r="P150" s="15" t="str">
        <f t="shared" si="147"/>
        <v/>
      </c>
      <c r="Q150" s="15" t="str">
        <f t="shared" si="147"/>
        <v/>
      </c>
      <c r="R150" s="15" t="str">
        <f t="shared" si="147"/>
        <v/>
      </c>
      <c r="S150" s="15" t="str">
        <f t="shared" si="147"/>
        <v/>
      </c>
      <c r="T150" s="15" t="str">
        <f t="shared" si="147"/>
        <v/>
      </c>
      <c r="U150" s="15" t="str">
        <f t="shared" si="147"/>
        <v/>
      </c>
      <c r="V150" s="15" t="str">
        <f t="shared" si="147"/>
        <v/>
      </c>
      <c r="W150" s="15" t="str">
        <f t="shared" si="147"/>
        <v/>
      </c>
      <c r="X150" s="15" t="str">
        <f t="shared" si="147"/>
        <v/>
      </c>
      <c r="Y150" s="15" t="str">
        <f t="shared" si="147"/>
        <v/>
      </c>
      <c r="Z150" s="15" t="str">
        <f t="shared" si="147"/>
        <v/>
      </c>
      <c r="AA150" s="15" t="str">
        <f t="shared" si="147"/>
        <v/>
      </c>
      <c r="AB150" s="15" t="str">
        <f t="shared" si="147"/>
        <v/>
      </c>
      <c r="AC150" s="15" t="str">
        <f t="shared" si="147"/>
        <v/>
      </c>
      <c r="AD150" s="15" t="str">
        <f t="shared" si="147"/>
        <v/>
      </c>
      <c r="AE150" s="15" t="str">
        <f t="shared" si="147"/>
        <v/>
      </c>
      <c r="AF150" s="15" t="str">
        <f t="shared" si="147"/>
        <v/>
      </c>
      <c r="AG150" s="15" t="str">
        <f t="shared" si="147"/>
        <v/>
      </c>
      <c r="AH150" s="15" t="str">
        <f t="shared" si="147"/>
        <v/>
      </c>
      <c r="AI150" s="15" t="str">
        <f t="shared" si="147"/>
        <v/>
      </c>
      <c r="AJ150" s="15" t="str">
        <f t="shared" si="147"/>
        <v/>
      </c>
      <c r="AK150" s="15" t="str">
        <f t="shared" si="147"/>
        <v/>
      </c>
      <c r="AL150" s="15" t="str">
        <f t="shared" si="147"/>
        <v/>
      </c>
      <c r="AM150" s="15" t="str">
        <f t="shared" si="147"/>
        <v/>
      </c>
      <c r="AN150" s="15" t="str">
        <f t="shared" si="147"/>
        <v/>
      </c>
      <c r="AO150" s="15" t="str">
        <f t="shared" si="147"/>
        <v/>
      </c>
      <c r="AP150" s="15" t="str">
        <f t="shared" si="147"/>
        <v/>
      </c>
      <c r="AQ150" s="15" t="str">
        <f t="shared" si="147"/>
        <v/>
      </c>
      <c r="AR150" s="15" t="str">
        <f t="shared" si="147"/>
        <v/>
      </c>
      <c r="AS150" s="15" t="str">
        <f t="shared" si="147"/>
        <v/>
      </c>
      <c r="AT150" s="15" t="str">
        <f t="shared" si="147"/>
        <v/>
      </c>
      <c r="AU150" s="15" t="str">
        <f t="shared" si="147"/>
        <v/>
      </c>
      <c r="AV150" s="15" t="str">
        <f t="shared" si="147"/>
        <v/>
      </c>
      <c r="AW150" s="15" t="str">
        <f t="shared" si="147"/>
        <v/>
      </c>
      <c r="AX150" s="15" t="str">
        <f t="shared" si="147"/>
        <v/>
      </c>
      <c r="AY150" s="15" t="str">
        <f t="shared" si="147"/>
        <v/>
      </c>
    </row>
    <row r="151" ht="18.0" customHeight="1">
      <c r="A151" s="13" t="str">
        <f t="shared" si="1"/>
        <v/>
      </c>
      <c r="B151" s="13" t="str">
        <f t="shared" si="2"/>
        <v/>
      </c>
      <c r="C151" s="12" t="str">
        <f t="shared" si="3"/>
        <v/>
      </c>
      <c r="D151" s="12" t="str">
        <f t="shared" si="4"/>
        <v/>
      </c>
      <c r="E151" s="12" t="str">
        <f t="shared" si="5"/>
        <v/>
      </c>
      <c r="F151" s="12" t="str">
        <f t="shared" si="6"/>
        <v/>
      </c>
      <c r="G151" s="12" t="str">
        <f t="shared" si="7"/>
        <v/>
      </c>
      <c r="H151" s="12" t="str">
        <f t="shared" si="8"/>
        <v/>
      </c>
      <c r="I151" s="12" t="str">
        <f t="shared" si="9"/>
        <v/>
      </c>
      <c r="J151" s="12" t="str">
        <f t="shared" si="10"/>
        <v/>
      </c>
      <c r="L151" s="15" t="str">
        <f t="shared" ref="L151:AY151" si="148">IF(L$13="","",IF(AND(L$13&gt;$H150,L$13&lt;=$I150),IF(AND(MOD($B$6,2)=1,L$13=ROUNDUP($J150,0)),"0",IF(L$13=INT($H150)+1,ROUNDDOWN(ABS(L$13-$J150),0),IF(L$13=INT($I150),ROUNDUP(ABS(L$13-$J150),0),""))),""))</f>
        <v/>
      </c>
      <c r="M151" s="15" t="str">
        <f t="shared" si="148"/>
        <v/>
      </c>
      <c r="N151" s="15" t="str">
        <f t="shared" si="148"/>
        <v/>
      </c>
      <c r="O151" s="15" t="str">
        <f t="shared" si="148"/>
        <v/>
      </c>
      <c r="P151" s="15" t="str">
        <f t="shared" si="148"/>
        <v/>
      </c>
      <c r="Q151" s="15" t="str">
        <f t="shared" si="148"/>
        <v/>
      </c>
      <c r="R151" s="15" t="str">
        <f t="shared" si="148"/>
        <v/>
      </c>
      <c r="S151" s="15" t="str">
        <f t="shared" si="148"/>
        <v/>
      </c>
      <c r="T151" s="15" t="str">
        <f t="shared" si="148"/>
        <v/>
      </c>
      <c r="U151" s="15" t="str">
        <f t="shared" si="148"/>
        <v/>
      </c>
      <c r="V151" s="15" t="str">
        <f t="shared" si="148"/>
        <v/>
      </c>
      <c r="W151" s="15" t="str">
        <f t="shared" si="148"/>
        <v/>
      </c>
      <c r="X151" s="15" t="str">
        <f t="shared" si="148"/>
        <v/>
      </c>
      <c r="Y151" s="15" t="str">
        <f t="shared" si="148"/>
        <v/>
      </c>
      <c r="Z151" s="15" t="str">
        <f t="shared" si="148"/>
        <v/>
      </c>
      <c r="AA151" s="15" t="str">
        <f t="shared" si="148"/>
        <v/>
      </c>
      <c r="AB151" s="15" t="str">
        <f t="shared" si="148"/>
        <v/>
      </c>
      <c r="AC151" s="15" t="str">
        <f t="shared" si="148"/>
        <v/>
      </c>
      <c r="AD151" s="15" t="str">
        <f t="shared" si="148"/>
        <v/>
      </c>
      <c r="AE151" s="15" t="str">
        <f t="shared" si="148"/>
        <v/>
      </c>
      <c r="AF151" s="15" t="str">
        <f t="shared" si="148"/>
        <v/>
      </c>
      <c r="AG151" s="15" t="str">
        <f t="shared" si="148"/>
        <v/>
      </c>
      <c r="AH151" s="15" t="str">
        <f t="shared" si="148"/>
        <v/>
      </c>
      <c r="AI151" s="15" t="str">
        <f t="shared" si="148"/>
        <v/>
      </c>
      <c r="AJ151" s="15" t="str">
        <f t="shared" si="148"/>
        <v/>
      </c>
      <c r="AK151" s="15" t="str">
        <f t="shared" si="148"/>
        <v/>
      </c>
      <c r="AL151" s="15" t="str">
        <f t="shared" si="148"/>
        <v/>
      </c>
      <c r="AM151" s="15" t="str">
        <f t="shared" si="148"/>
        <v/>
      </c>
      <c r="AN151" s="15" t="str">
        <f t="shared" si="148"/>
        <v/>
      </c>
      <c r="AO151" s="15" t="str">
        <f t="shared" si="148"/>
        <v/>
      </c>
      <c r="AP151" s="15" t="str">
        <f t="shared" si="148"/>
        <v/>
      </c>
      <c r="AQ151" s="15" t="str">
        <f t="shared" si="148"/>
        <v/>
      </c>
      <c r="AR151" s="15" t="str">
        <f t="shared" si="148"/>
        <v/>
      </c>
      <c r="AS151" s="15" t="str">
        <f t="shared" si="148"/>
        <v/>
      </c>
      <c r="AT151" s="15" t="str">
        <f t="shared" si="148"/>
        <v/>
      </c>
      <c r="AU151" s="15" t="str">
        <f t="shared" si="148"/>
        <v/>
      </c>
      <c r="AV151" s="15" t="str">
        <f t="shared" si="148"/>
        <v/>
      </c>
      <c r="AW151" s="15" t="str">
        <f t="shared" si="148"/>
        <v/>
      </c>
      <c r="AX151" s="15" t="str">
        <f t="shared" si="148"/>
        <v/>
      </c>
      <c r="AY151" s="15" t="str">
        <f t="shared" si="148"/>
        <v/>
      </c>
    </row>
    <row r="152" ht="18.0" customHeight="1">
      <c r="A152" s="13" t="str">
        <f t="shared" si="1"/>
        <v/>
      </c>
      <c r="B152" s="13" t="str">
        <f t="shared" si="2"/>
        <v/>
      </c>
      <c r="C152" s="12" t="str">
        <f t="shared" si="3"/>
        <v/>
      </c>
      <c r="D152" s="12" t="str">
        <f t="shared" si="4"/>
        <v/>
      </c>
      <c r="E152" s="12" t="str">
        <f t="shared" si="5"/>
        <v/>
      </c>
      <c r="F152" s="12" t="str">
        <f t="shared" si="6"/>
        <v/>
      </c>
      <c r="G152" s="12" t="str">
        <f t="shared" si="7"/>
        <v/>
      </c>
      <c r="H152" s="12" t="str">
        <f t="shared" si="8"/>
        <v/>
      </c>
      <c r="I152" s="12" t="str">
        <f t="shared" si="9"/>
        <v/>
      </c>
      <c r="J152" s="12" t="str">
        <f t="shared" si="10"/>
        <v/>
      </c>
      <c r="L152" s="15" t="str">
        <f t="shared" ref="L152:AY152" si="149">IF(L$13="","",IF(AND(L$13&gt;$H151,L$13&lt;=$I151),IF(AND(MOD($B$6,2)=1,L$13=ROUNDUP($J151,0)),"0",IF(L$13=INT($H151)+1,ROUNDDOWN(ABS(L$13-$J151),0),IF(L$13=INT($I151),ROUNDUP(ABS(L$13-$J151),0),""))),""))</f>
        <v/>
      </c>
      <c r="M152" s="15" t="str">
        <f t="shared" si="149"/>
        <v/>
      </c>
      <c r="N152" s="15" t="str">
        <f t="shared" si="149"/>
        <v/>
      </c>
      <c r="O152" s="15" t="str">
        <f t="shared" si="149"/>
        <v/>
      </c>
      <c r="P152" s="15" t="str">
        <f t="shared" si="149"/>
        <v/>
      </c>
      <c r="Q152" s="15" t="str">
        <f t="shared" si="149"/>
        <v/>
      </c>
      <c r="R152" s="15" t="str">
        <f t="shared" si="149"/>
        <v/>
      </c>
      <c r="S152" s="15" t="str">
        <f t="shared" si="149"/>
        <v/>
      </c>
      <c r="T152" s="15" t="str">
        <f t="shared" si="149"/>
        <v/>
      </c>
      <c r="U152" s="15" t="str">
        <f t="shared" si="149"/>
        <v/>
      </c>
      <c r="V152" s="15" t="str">
        <f t="shared" si="149"/>
        <v/>
      </c>
      <c r="W152" s="15" t="str">
        <f t="shared" si="149"/>
        <v/>
      </c>
      <c r="X152" s="15" t="str">
        <f t="shared" si="149"/>
        <v/>
      </c>
      <c r="Y152" s="15" t="str">
        <f t="shared" si="149"/>
        <v/>
      </c>
      <c r="Z152" s="15" t="str">
        <f t="shared" si="149"/>
        <v/>
      </c>
      <c r="AA152" s="15" t="str">
        <f t="shared" si="149"/>
        <v/>
      </c>
      <c r="AB152" s="15" t="str">
        <f t="shared" si="149"/>
        <v/>
      </c>
      <c r="AC152" s="15" t="str">
        <f t="shared" si="149"/>
        <v/>
      </c>
      <c r="AD152" s="15" t="str">
        <f t="shared" si="149"/>
        <v/>
      </c>
      <c r="AE152" s="15" t="str">
        <f t="shared" si="149"/>
        <v/>
      </c>
      <c r="AF152" s="15" t="str">
        <f t="shared" si="149"/>
        <v/>
      </c>
      <c r="AG152" s="15" t="str">
        <f t="shared" si="149"/>
        <v/>
      </c>
      <c r="AH152" s="15" t="str">
        <f t="shared" si="149"/>
        <v/>
      </c>
      <c r="AI152" s="15" t="str">
        <f t="shared" si="149"/>
        <v/>
      </c>
      <c r="AJ152" s="15" t="str">
        <f t="shared" si="149"/>
        <v/>
      </c>
      <c r="AK152" s="15" t="str">
        <f t="shared" si="149"/>
        <v/>
      </c>
      <c r="AL152" s="15" t="str">
        <f t="shared" si="149"/>
        <v/>
      </c>
      <c r="AM152" s="15" t="str">
        <f t="shared" si="149"/>
        <v/>
      </c>
      <c r="AN152" s="15" t="str">
        <f t="shared" si="149"/>
        <v/>
      </c>
      <c r="AO152" s="15" t="str">
        <f t="shared" si="149"/>
        <v/>
      </c>
      <c r="AP152" s="15" t="str">
        <f t="shared" si="149"/>
        <v/>
      </c>
      <c r="AQ152" s="15" t="str">
        <f t="shared" si="149"/>
        <v/>
      </c>
      <c r="AR152" s="15" t="str">
        <f t="shared" si="149"/>
        <v/>
      </c>
      <c r="AS152" s="15" t="str">
        <f t="shared" si="149"/>
        <v/>
      </c>
      <c r="AT152" s="15" t="str">
        <f t="shared" si="149"/>
        <v/>
      </c>
      <c r="AU152" s="15" t="str">
        <f t="shared" si="149"/>
        <v/>
      </c>
      <c r="AV152" s="15" t="str">
        <f t="shared" si="149"/>
        <v/>
      </c>
      <c r="AW152" s="15" t="str">
        <f t="shared" si="149"/>
        <v/>
      </c>
      <c r="AX152" s="15" t="str">
        <f t="shared" si="149"/>
        <v/>
      </c>
      <c r="AY152" s="15" t="str">
        <f t="shared" si="149"/>
        <v/>
      </c>
    </row>
    <row r="153" ht="18.0" customHeight="1">
      <c r="A153" s="13" t="str">
        <f t="shared" si="1"/>
        <v/>
      </c>
      <c r="B153" s="13" t="str">
        <f t="shared" si="2"/>
        <v/>
      </c>
      <c r="C153" s="12" t="str">
        <f t="shared" si="3"/>
        <v/>
      </c>
      <c r="D153" s="12" t="str">
        <f t="shared" si="4"/>
        <v/>
      </c>
      <c r="E153" s="12" t="str">
        <f t="shared" si="5"/>
        <v/>
      </c>
      <c r="F153" s="12" t="str">
        <f t="shared" si="6"/>
        <v/>
      </c>
      <c r="G153" s="12" t="str">
        <f t="shared" si="7"/>
        <v/>
      </c>
      <c r="H153" s="12" t="str">
        <f t="shared" si="8"/>
        <v/>
      </c>
      <c r="I153" s="12" t="str">
        <f t="shared" si="9"/>
        <v/>
      </c>
      <c r="J153" s="12" t="str">
        <f t="shared" si="10"/>
        <v/>
      </c>
      <c r="L153" s="15" t="str">
        <f t="shared" ref="L153:AY153" si="150">IF(L$13="","",IF(AND(L$13&gt;$H152,L$13&lt;=$I152),IF(AND(MOD($B$6,2)=1,L$13=ROUNDUP($J152,0)),"0",IF(L$13=INT($H152)+1,ROUNDDOWN(ABS(L$13-$J152),0),IF(L$13=INT($I152),ROUNDUP(ABS(L$13-$J152),0),""))),""))</f>
        <v/>
      </c>
      <c r="M153" s="15" t="str">
        <f t="shared" si="150"/>
        <v/>
      </c>
      <c r="N153" s="15" t="str">
        <f t="shared" si="150"/>
        <v/>
      </c>
      <c r="O153" s="15" t="str">
        <f t="shared" si="150"/>
        <v/>
      </c>
      <c r="P153" s="15" t="str">
        <f t="shared" si="150"/>
        <v/>
      </c>
      <c r="Q153" s="15" t="str">
        <f t="shared" si="150"/>
        <v/>
      </c>
      <c r="R153" s="15" t="str">
        <f t="shared" si="150"/>
        <v/>
      </c>
      <c r="S153" s="15" t="str">
        <f t="shared" si="150"/>
        <v/>
      </c>
      <c r="T153" s="15" t="str">
        <f t="shared" si="150"/>
        <v/>
      </c>
      <c r="U153" s="15" t="str">
        <f t="shared" si="150"/>
        <v/>
      </c>
      <c r="V153" s="15" t="str">
        <f t="shared" si="150"/>
        <v/>
      </c>
      <c r="W153" s="15" t="str">
        <f t="shared" si="150"/>
        <v/>
      </c>
      <c r="X153" s="15" t="str">
        <f t="shared" si="150"/>
        <v/>
      </c>
      <c r="Y153" s="15" t="str">
        <f t="shared" si="150"/>
        <v/>
      </c>
      <c r="Z153" s="15" t="str">
        <f t="shared" si="150"/>
        <v/>
      </c>
      <c r="AA153" s="15" t="str">
        <f t="shared" si="150"/>
        <v/>
      </c>
      <c r="AB153" s="15" t="str">
        <f t="shared" si="150"/>
        <v/>
      </c>
      <c r="AC153" s="15" t="str">
        <f t="shared" si="150"/>
        <v/>
      </c>
      <c r="AD153" s="15" t="str">
        <f t="shared" si="150"/>
        <v/>
      </c>
      <c r="AE153" s="15" t="str">
        <f t="shared" si="150"/>
        <v/>
      </c>
      <c r="AF153" s="15" t="str">
        <f t="shared" si="150"/>
        <v/>
      </c>
      <c r="AG153" s="15" t="str">
        <f t="shared" si="150"/>
        <v/>
      </c>
      <c r="AH153" s="15" t="str">
        <f t="shared" si="150"/>
        <v/>
      </c>
      <c r="AI153" s="15" t="str">
        <f t="shared" si="150"/>
        <v/>
      </c>
      <c r="AJ153" s="15" t="str">
        <f t="shared" si="150"/>
        <v/>
      </c>
      <c r="AK153" s="15" t="str">
        <f t="shared" si="150"/>
        <v/>
      </c>
      <c r="AL153" s="15" t="str">
        <f t="shared" si="150"/>
        <v/>
      </c>
      <c r="AM153" s="15" t="str">
        <f t="shared" si="150"/>
        <v/>
      </c>
      <c r="AN153" s="15" t="str">
        <f t="shared" si="150"/>
        <v/>
      </c>
      <c r="AO153" s="15" t="str">
        <f t="shared" si="150"/>
        <v/>
      </c>
      <c r="AP153" s="15" t="str">
        <f t="shared" si="150"/>
        <v/>
      </c>
      <c r="AQ153" s="15" t="str">
        <f t="shared" si="150"/>
        <v/>
      </c>
      <c r="AR153" s="15" t="str">
        <f t="shared" si="150"/>
        <v/>
      </c>
      <c r="AS153" s="15" t="str">
        <f t="shared" si="150"/>
        <v/>
      </c>
      <c r="AT153" s="15" t="str">
        <f t="shared" si="150"/>
        <v/>
      </c>
      <c r="AU153" s="15" t="str">
        <f t="shared" si="150"/>
        <v/>
      </c>
      <c r="AV153" s="15" t="str">
        <f t="shared" si="150"/>
        <v/>
      </c>
      <c r="AW153" s="15" t="str">
        <f t="shared" si="150"/>
        <v/>
      </c>
      <c r="AX153" s="15" t="str">
        <f t="shared" si="150"/>
        <v/>
      </c>
      <c r="AY153" s="15" t="str">
        <f t="shared" si="150"/>
        <v/>
      </c>
    </row>
    <row r="154" ht="18.0" customHeight="1">
      <c r="A154" s="13" t="str">
        <f t="shared" si="1"/>
        <v/>
      </c>
      <c r="B154" s="13" t="str">
        <f t="shared" si="2"/>
        <v/>
      </c>
      <c r="C154" s="12" t="str">
        <f t="shared" si="3"/>
        <v/>
      </c>
      <c r="D154" s="12" t="str">
        <f t="shared" si="4"/>
        <v/>
      </c>
      <c r="E154" s="12" t="str">
        <f t="shared" si="5"/>
        <v/>
      </c>
      <c r="F154" s="12" t="str">
        <f t="shared" si="6"/>
        <v/>
      </c>
      <c r="G154" s="12" t="str">
        <f t="shared" si="7"/>
        <v/>
      </c>
      <c r="H154" s="12" t="str">
        <f t="shared" si="8"/>
        <v/>
      </c>
      <c r="I154" s="12" t="str">
        <f t="shared" si="9"/>
        <v/>
      </c>
      <c r="J154" s="12" t="str">
        <f t="shared" si="10"/>
        <v/>
      </c>
      <c r="L154" s="15" t="str">
        <f t="shared" ref="L154:AY154" si="151">IF(L$13="","",IF(AND(L$13&gt;$H153,L$13&lt;=$I153),IF(AND(MOD($B$6,2)=1,L$13=ROUNDUP($J153,0)),"0",IF(L$13=INT($H153)+1,ROUNDDOWN(ABS(L$13-$J153),0),IF(L$13=INT($I153),ROUNDUP(ABS(L$13-$J153),0),""))),""))</f>
        <v/>
      </c>
      <c r="M154" s="15" t="str">
        <f t="shared" si="151"/>
        <v/>
      </c>
      <c r="N154" s="15" t="str">
        <f t="shared" si="151"/>
        <v/>
      </c>
      <c r="O154" s="15" t="str">
        <f t="shared" si="151"/>
        <v/>
      </c>
      <c r="P154" s="15" t="str">
        <f t="shared" si="151"/>
        <v/>
      </c>
      <c r="Q154" s="15" t="str">
        <f t="shared" si="151"/>
        <v/>
      </c>
      <c r="R154" s="15" t="str">
        <f t="shared" si="151"/>
        <v/>
      </c>
      <c r="S154" s="15" t="str">
        <f t="shared" si="151"/>
        <v/>
      </c>
      <c r="T154" s="15" t="str">
        <f t="shared" si="151"/>
        <v/>
      </c>
      <c r="U154" s="15" t="str">
        <f t="shared" si="151"/>
        <v/>
      </c>
      <c r="V154" s="15" t="str">
        <f t="shared" si="151"/>
        <v/>
      </c>
      <c r="W154" s="15" t="str">
        <f t="shared" si="151"/>
        <v/>
      </c>
      <c r="X154" s="15" t="str">
        <f t="shared" si="151"/>
        <v/>
      </c>
      <c r="Y154" s="15" t="str">
        <f t="shared" si="151"/>
        <v/>
      </c>
      <c r="Z154" s="15" t="str">
        <f t="shared" si="151"/>
        <v/>
      </c>
      <c r="AA154" s="15" t="str">
        <f t="shared" si="151"/>
        <v/>
      </c>
      <c r="AB154" s="15" t="str">
        <f t="shared" si="151"/>
        <v/>
      </c>
      <c r="AC154" s="15" t="str">
        <f t="shared" si="151"/>
        <v/>
      </c>
      <c r="AD154" s="15" t="str">
        <f t="shared" si="151"/>
        <v/>
      </c>
      <c r="AE154" s="15" t="str">
        <f t="shared" si="151"/>
        <v/>
      </c>
      <c r="AF154" s="15" t="str">
        <f t="shared" si="151"/>
        <v/>
      </c>
      <c r="AG154" s="15" t="str">
        <f t="shared" si="151"/>
        <v/>
      </c>
      <c r="AH154" s="15" t="str">
        <f t="shared" si="151"/>
        <v/>
      </c>
      <c r="AI154" s="15" t="str">
        <f t="shared" si="151"/>
        <v/>
      </c>
      <c r="AJ154" s="15" t="str">
        <f t="shared" si="151"/>
        <v/>
      </c>
      <c r="AK154" s="15" t="str">
        <f t="shared" si="151"/>
        <v/>
      </c>
      <c r="AL154" s="15" t="str">
        <f t="shared" si="151"/>
        <v/>
      </c>
      <c r="AM154" s="15" t="str">
        <f t="shared" si="151"/>
        <v/>
      </c>
      <c r="AN154" s="15" t="str">
        <f t="shared" si="151"/>
        <v/>
      </c>
      <c r="AO154" s="15" t="str">
        <f t="shared" si="151"/>
        <v/>
      </c>
      <c r="AP154" s="15" t="str">
        <f t="shared" si="151"/>
        <v/>
      </c>
      <c r="AQ154" s="15" t="str">
        <f t="shared" si="151"/>
        <v/>
      </c>
      <c r="AR154" s="15" t="str">
        <f t="shared" si="151"/>
        <v/>
      </c>
      <c r="AS154" s="15" t="str">
        <f t="shared" si="151"/>
        <v/>
      </c>
      <c r="AT154" s="15" t="str">
        <f t="shared" si="151"/>
        <v/>
      </c>
      <c r="AU154" s="15" t="str">
        <f t="shared" si="151"/>
        <v/>
      </c>
      <c r="AV154" s="15" t="str">
        <f t="shared" si="151"/>
        <v/>
      </c>
      <c r="AW154" s="15" t="str">
        <f t="shared" si="151"/>
        <v/>
      </c>
      <c r="AX154" s="15" t="str">
        <f t="shared" si="151"/>
        <v/>
      </c>
      <c r="AY154" s="15" t="str">
        <f t="shared" si="151"/>
        <v/>
      </c>
    </row>
    <row r="155" ht="18.0" customHeight="1">
      <c r="A155" s="13" t="str">
        <f t="shared" si="1"/>
        <v/>
      </c>
      <c r="B155" s="13" t="str">
        <f t="shared" si="2"/>
        <v/>
      </c>
      <c r="C155" s="12" t="str">
        <f t="shared" si="3"/>
        <v/>
      </c>
      <c r="D155" s="12" t="str">
        <f t="shared" si="4"/>
        <v/>
      </c>
      <c r="E155" s="12" t="str">
        <f t="shared" si="5"/>
        <v/>
      </c>
      <c r="F155" s="12" t="str">
        <f t="shared" si="6"/>
        <v/>
      </c>
      <c r="G155" s="12" t="str">
        <f t="shared" si="7"/>
        <v/>
      </c>
      <c r="H155" s="12" t="str">
        <f t="shared" si="8"/>
        <v/>
      </c>
      <c r="I155" s="12" t="str">
        <f t="shared" si="9"/>
        <v/>
      </c>
      <c r="J155" s="12" t="str">
        <f t="shared" si="10"/>
        <v/>
      </c>
      <c r="L155" s="15" t="str">
        <f t="shared" ref="L155:AY155" si="152">IF(L$13="","",IF(AND(L$13&gt;$H154,L$13&lt;=$I154),IF(AND(MOD($B$6,2)=1,L$13=ROUNDUP($J154,0)),"0",IF(L$13=INT($H154)+1,ROUNDDOWN(ABS(L$13-$J154),0),IF(L$13=INT($I154),ROUNDUP(ABS(L$13-$J154),0),""))),""))</f>
        <v/>
      </c>
      <c r="M155" s="15" t="str">
        <f t="shared" si="152"/>
        <v/>
      </c>
      <c r="N155" s="15" t="str">
        <f t="shared" si="152"/>
        <v/>
      </c>
      <c r="O155" s="15" t="str">
        <f t="shared" si="152"/>
        <v/>
      </c>
      <c r="P155" s="15" t="str">
        <f t="shared" si="152"/>
        <v/>
      </c>
      <c r="Q155" s="15" t="str">
        <f t="shared" si="152"/>
        <v/>
      </c>
      <c r="R155" s="15" t="str">
        <f t="shared" si="152"/>
        <v/>
      </c>
      <c r="S155" s="15" t="str">
        <f t="shared" si="152"/>
        <v/>
      </c>
      <c r="T155" s="15" t="str">
        <f t="shared" si="152"/>
        <v/>
      </c>
      <c r="U155" s="15" t="str">
        <f t="shared" si="152"/>
        <v/>
      </c>
      <c r="V155" s="15" t="str">
        <f t="shared" si="152"/>
        <v/>
      </c>
      <c r="W155" s="15" t="str">
        <f t="shared" si="152"/>
        <v/>
      </c>
      <c r="X155" s="15" t="str">
        <f t="shared" si="152"/>
        <v/>
      </c>
      <c r="Y155" s="15" t="str">
        <f t="shared" si="152"/>
        <v/>
      </c>
      <c r="Z155" s="15" t="str">
        <f t="shared" si="152"/>
        <v/>
      </c>
      <c r="AA155" s="15" t="str">
        <f t="shared" si="152"/>
        <v/>
      </c>
      <c r="AB155" s="15" t="str">
        <f t="shared" si="152"/>
        <v/>
      </c>
      <c r="AC155" s="15" t="str">
        <f t="shared" si="152"/>
        <v/>
      </c>
      <c r="AD155" s="15" t="str">
        <f t="shared" si="152"/>
        <v/>
      </c>
      <c r="AE155" s="15" t="str">
        <f t="shared" si="152"/>
        <v/>
      </c>
      <c r="AF155" s="15" t="str">
        <f t="shared" si="152"/>
        <v/>
      </c>
      <c r="AG155" s="15" t="str">
        <f t="shared" si="152"/>
        <v/>
      </c>
      <c r="AH155" s="15" t="str">
        <f t="shared" si="152"/>
        <v/>
      </c>
      <c r="AI155" s="15" t="str">
        <f t="shared" si="152"/>
        <v/>
      </c>
      <c r="AJ155" s="15" t="str">
        <f t="shared" si="152"/>
        <v/>
      </c>
      <c r="AK155" s="15" t="str">
        <f t="shared" si="152"/>
        <v/>
      </c>
      <c r="AL155" s="15" t="str">
        <f t="shared" si="152"/>
        <v/>
      </c>
      <c r="AM155" s="15" t="str">
        <f t="shared" si="152"/>
        <v/>
      </c>
      <c r="AN155" s="15" t="str">
        <f t="shared" si="152"/>
        <v/>
      </c>
      <c r="AO155" s="15" t="str">
        <f t="shared" si="152"/>
        <v/>
      </c>
      <c r="AP155" s="15" t="str">
        <f t="shared" si="152"/>
        <v/>
      </c>
      <c r="AQ155" s="15" t="str">
        <f t="shared" si="152"/>
        <v/>
      </c>
      <c r="AR155" s="15" t="str">
        <f t="shared" si="152"/>
        <v/>
      </c>
      <c r="AS155" s="15" t="str">
        <f t="shared" si="152"/>
        <v/>
      </c>
      <c r="AT155" s="15" t="str">
        <f t="shared" si="152"/>
        <v/>
      </c>
      <c r="AU155" s="15" t="str">
        <f t="shared" si="152"/>
        <v/>
      </c>
      <c r="AV155" s="15" t="str">
        <f t="shared" si="152"/>
        <v/>
      </c>
      <c r="AW155" s="15" t="str">
        <f t="shared" si="152"/>
        <v/>
      </c>
      <c r="AX155" s="15" t="str">
        <f t="shared" si="152"/>
        <v/>
      </c>
      <c r="AY155" s="15" t="str">
        <f t="shared" si="152"/>
        <v/>
      </c>
    </row>
    <row r="156" ht="18.0" customHeight="1">
      <c r="A156" s="13" t="str">
        <f t="shared" si="1"/>
        <v/>
      </c>
      <c r="B156" s="13" t="str">
        <f t="shared" si="2"/>
        <v/>
      </c>
      <c r="C156" s="12" t="str">
        <f t="shared" si="3"/>
        <v/>
      </c>
      <c r="D156" s="12" t="str">
        <f t="shared" si="4"/>
        <v/>
      </c>
      <c r="E156" s="12" t="str">
        <f t="shared" si="5"/>
        <v/>
      </c>
      <c r="F156" s="12" t="str">
        <f t="shared" si="6"/>
        <v/>
      </c>
      <c r="G156" s="12" t="str">
        <f t="shared" si="7"/>
        <v/>
      </c>
      <c r="H156" s="12" t="str">
        <f t="shared" si="8"/>
        <v/>
      </c>
      <c r="I156" s="12" t="str">
        <f t="shared" si="9"/>
        <v/>
      </c>
      <c r="J156" s="12" t="str">
        <f t="shared" si="10"/>
        <v/>
      </c>
      <c r="L156" s="15" t="str">
        <f t="shared" ref="L156:AY156" si="153">IF(L$13="","",IF(AND(L$13&gt;$H155,L$13&lt;=$I155),IF(AND(MOD($B$6,2)=1,L$13=ROUNDUP($J155,0)),"0",IF(L$13=INT($H155)+1,ROUNDDOWN(ABS(L$13-$J155),0),IF(L$13=INT($I155),ROUNDUP(ABS(L$13-$J155),0),""))),""))</f>
        <v/>
      </c>
      <c r="M156" s="15" t="str">
        <f t="shared" si="153"/>
        <v/>
      </c>
      <c r="N156" s="15" t="str">
        <f t="shared" si="153"/>
        <v/>
      </c>
      <c r="O156" s="15" t="str">
        <f t="shared" si="153"/>
        <v/>
      </c>
      <c r="P156" s="15" t="str">
        <f t="shared" si="153"/>
        <v/>
      </c>
      <c r="Q156" s="15" t="str">
        <f t="shared" si="153"/>
        <v/>
      </c>
      <c r="R156" s="15" t="str">
        <f t="shared" si="153"/>
        <v/>
      </c>
      <c r="S156" s="15" t="str">
        <f t="shared" si="153"/>
        <v/>
      </c>
      <c r="T156" s="15" t="str">
        <f t="shared" si="153"/>
        <v/>
      </c>
      <c r="U156" s="15" t="str">
        <f t="shared" si="153"/>
        <v/>
      </c>
      <c r="V156" s="15" t="str">
        <f t="shared" si="153"/>
        <v/>
      </c>
      <c r="W156" s="15" t="str">
        <f t="shared" si="153"/>
        <v/>
      </c>
      <c r="X156" s="15" t="str">
        <f t="shared" si="153"/>
        <v/>
      </c>
      <c r="Y156" s="15" t="str">
        <f t="shared" si="153"/>
        <v/>
      </c>
      <c r="Z156" s="15" t="str">
        <f t="shared" si="153"/>
        <v/>
      </c>
      <c r="AA156" s="15" t="str">
        <f t="shared" si="153"/>
        <v/>
      </c>
      <c r="AB156" s="15" t="str">
        <f t="shared" si="153"/>
        <v/>
      </c>
      <c r="AC156" s="15" t="str">
        <f t="shared" si="153"/>
        <v/>
      </c>
      <c r="AD156" s="15" t="str">
        <f t="shared" si="153"/>
        <v/>
      </c>
      <c r="AE156" s="15" t="str">
        <f t="shared" si="153"/>
        <v/>
      </c>
      <c r="AF156" s="15" t="str">
        <f t="shared" si="153"/>
        <v/>
      </c>
      <c r="AG156" s="15" t="str">
        <f t="shared" si="153"/>
        <v/>
      </c>
      <c r="AH156" s="15" t="str">
        <f t="shared" si="153"/>
        <v/>
      </c>
      <c r="AI156" s="15" t="str">
        <f t="shared" si="153"/>
        <v/>
      </c>
      <c r="AJ156" s="15" t="str">
        <f t="shared" si="153"/>
        <v/>
      </c>
      <c r="AK156" s="15" t="str">
        <f t="shared" si="153"/>
        <v/>
      </c>
      <c r="AL156" s="15" t="str">
        <f t="shared" si="153"/>
        <v/>
      </c>
      <c r="AM156" s="15" t="str">
        <f t="shared" si="153"/>
        <v/>
      </c>
      <c r="AN156" s="15" t="str">
        <f t="shared" si="153"/>
        <v/>
      </c>
      <c r="AO156" s="15" t="str">
        <f t="shared" si="153"/>
        <v/>
      </c>
      <c r="AP156" s="15" t="str">
        <f t="shared" si="153"/>
        <v/>
      </c>
      <c r="AQ156" s="15" t="str">
        <f t="shared" si="153"/>
        <v/>
      </c>
      <c r="AR156" s="15" t="str">
        <f t="shared" si="153"/>
        <v/>
      </c>
      <c r="AS156" s="15" t="str">
        <f t="shared" si="153"/>
        <v/>
      </c>
      <c r="AT156" s="15" t="str">
        <f t="shared" si="153"/>
        <v/>
      </c>
      <c r="AU156" s="15" t="str">
        <f t="shared" si="153"/>
        <v/>
      </c>
      <c r="AV156" s="15" t="str">
        <f t="shared" si="153"/>
        <v/>
      </c>
      <c r="AW156" s="15" t="str">
        <f t="shared" si="153"/>
        <v/>
      </c>
      <c r="AX156" s="15" t="str">
        <f t="shared" si="153"/>
        <v/>
      </c>
      <c r="AY156" s="15" t="str">
        <f t="shared" si="153"/>
        <v/>
      </c>
    </row>
    <row r="157" ht="18.0" customHeight="1">
      <c r="A157" s="13" t="str">
        <f t="shared" si="1"/>
        <v/>
      </c>
      <c r="B157" s="13" t="str">
        <f t="shared" si="2"/>
        <v/>
      </c>
      <c r="C157" s="12" t="str">
        <f t="shared" si="3"/>
        <v/>
      </c>
      <c r="D157" s="12" t="str">
        <f t="shared" si="4"/>
        <v/>
      </c>
      <c r="E157" s="12" t="str">
        <f t="shared" si="5"/>
        <v/>
      </c>
      <c r="F157" s="12" t="str">
        <f t="shared" si="6"/>
        <v/>
      </c>
      <c r="G157" s="12" t="str">
        <f t="shared" si="7"/>
        <v/>
      </c>
      <c r="H157" s="12" t="str">
        <f t="shared" si="8"/>
        <v/>
      </c>
      <c r="I157" s="12" t="str">
        <f t="shared" si="9"/>
        <v/>
      </c>
      <c r="J157" s="12" t="str">
        <f t="shared" si="10"/>
        <v/>
      </c>
      <c r="L157" s="15" t="str">
        <f t="shared" ref="L157:AY157" si="154">IF(L$13="","",IF(AND(L$13&gt;$H156,L$13&lt;=$I156),IF(AND(MOD($B$6,2)=1,L$13=ROUNDUP($J156,0)),"0",IF(L$13=INT($H156)+1,ROUNDDOWN(ABS(L$13-$J156),0),IF(L$13=INT($I156),ROUNDUP(ABS(L$13-$J156),0),""))),""))</f>
        <v/>
      </c>
      <c r="M157" s="15" t="str">
        <f t="shared" si="154"/>
        <v/>
      </c>
      <c r="N157" s="15" t="str">
        <f t="shared" si="154"/>
        <v/>
      </c>
      <c r="O157" s="15" t="str">
        <f t="shared" si="154"/>
        <v/>
      </c>
      <c r="P157" s="15" t="str">
        <f t="shared" si="154"/>
        <v/>
      </c>
      <c r="Q157" s="15" t="str">
        <f t="shared" si="154"/>
        <v/>
      </c>
      <c r="R157" s="15" t="str">
        <f t="shared" si="154"/>
        <v/>
      </c>
      <c r="S157" s="15" t="str">
        <f t="shared" si="154"/>
        <v/>
      </c>
      <c r="T157" s="15" t="str">
        <f t="shared" si="154"/>
        <v/>
      </c>
      <c r="U157" s="15" t="str">
        <f t="shared" si="154"/>
        <v/>
      </c>
      <c r="V157" s="15" t="str">
        <f t="shared" si="154"/>
        <v/>
      </c>
      <c r="W157" s="15" t="str">
        <f t="shared" si="154"/>
        <v/>
      </c>
      <c r="X157" s="15" t="str">
        <f t="shared" si="154"/>
        <v/>
      </c>
      <c r="Y157" s="15" t="str">
        <f t="shared" si="154"/>
        <v/>
      </c>
      <c r="Z157" s="15" t="str">
        <f t="shared" si="154"/>
        <v/>
      </c>
      <c r="AA157" s="15" t="str">
        <f t="shared" si="154"/>
        <v/>
      </c>
      <c r="AB157" s="15" t="str">
        <f t="shared" si="154"/>
        <v/>
      </c>
      <c r="AC157" s="15" t="str">
        <f t="shared" si="154"/>
        <v/>
      </c>
      <c r="AD157" s="15" t="str">
        <f t="shared" si="154"/>
        <v/>
      </c>
      <c r="AE157" s="15" t="str">
        <f t="shared" si="154"/>
        <v/>
      </c>
      <c r="AF157" s="15" t="str">
        <f t="shared" si="154"/>
        <v/>
      </c>
      <c r="AG157" s="15" t="str">
        <f t="shared" si="154"/>
        <v/>
      </c>
      <c r="AH157" s="15" t="str">
        <f t="shared" si="154"/>
        <v/>
      </c>
      <c r="AI157" s="15" t="str">
        <f t="shared" si="154"/>
        <v/>
      </c>
      <c r="AJ157" s="15" t="str">
        <f t="shared" si="154"/>
        <v/>
      </c>
      <c r="AK157" s="15" t="str">
        <f t="shared" si="154"/>
        <v/>
      </c>
      <c r="AL157" s="15" t="str">
        <f t="shared" si="154"/>
        <v/>
      </c>
      <c r="AM157" s="15" t="str">
        <f t="shared" si="154"/>
        <v/>
      </c>
      <c r="AN157" s="15" t="str">
        <f t="shared" si="154"/>
        <v/>
      </c>
      <c r="AO157" s="15" t="str">
        <f t="shared" si="154"/>
        <v/>
      </c>
      <c r="AP157" s="15" t="str">
        <f t="shared" si="154"/>
        <v/>
      </c>
      <c r="AQ157" s="15" t="str">
        <f t="shared" si="154"/>
        <v/>
      </c>
      <c r="AR157" s="15" t="str">
        <f t="shared" si="154"/>
        <v/>
      </c>
      <c r="AS157" s="15" t="str">
        <f t="shared" si="154"/>
        <v/>
      </c>
      <c r="AT157" s="15" t="str">
        <f t="shared" si="154"/>
        <v/>
      </c>
      <c r="AU157" s="15" t="str">
        <f t="shared" si="154"/>
        <v/>
      </c>
      <c r="AV157" s="15" t="str">
        <f t="shared" si="154"/>
        <v/>
      </c>
      <c r="AW157" s="15" t="str">
        <f t="shared" si="154"/>
        <v/>
      </c>
      <c r="AX157" s="15" t="str">
        <f t="shared" si="154"/>
        <v/>
      </c>
      <c r="AY157" s="15" t="str">
        <f t="shared" si="154"/>
        <v/>
      </c>
    </row>
    <row r="158" ht="18.0" customHeight="1">
      <c r="A158" s="13" t="str">
        <f t="shared" si="1"/>
        <v/>
      </c>
      <c r="B158" s="13" t="str">
        <f t="shared" si="2"/>
        <v/>
      </c>
      <c r="C158" s="12" t="str">
        <f t="shared" si="3"/>
        <v/>
      </c>
      <c r="D158" s="12" t="str">
        <f t="shared" si="4"/>
        <v/>
      </c>
      <c r="E158" s="12" t="str">
        <f t="shared" si="5"/>
        <v/>
      </c>
      <c r="F158" s="12" t="str">
        <f t="shared" si="6"/>
        <v/>
      </c>
      <c r="G158" s="12" t="str">
        <f t="shared" si="7"/>
        <v/>
      </c>
      <c r="H158" s="12" t="str">
        <f t="shared" si="8"/>
        <v/>
      </c>
      <c r="I158" s="12" t="str">
        <f t="shared" si="9"/>
        <v/>
      </c>
      <c r="J158" s="12" t="str">
        <f t="shared" si="10"/>
        <v/>
      </c>
      <c r="L158" s="15" t="str">
        <f t="shared" ref="L158:AY158" si="155">IF(L$13="","",IF(AND(L$13&gt;$H157,L$13&lt;=$I157),IF(AND(MOD($B$6,2)=1,L$13=ROUNDUP($J157,0)),"0",IF(L$13=INT($H157)+1,ROUNDDOWN(ABS(L$13-$J157),0),IF(L$13=INT($I157),ROUNDUP(ABS(L$13-$J157),0),""))),""))</f>
        <v/>
      </c>
      <c r="M158" s="15" t="str">
        <f t="shared" si="155"/>
        <v/>
      </c>
      <c r="N158" s="15" t="str">
        <f t="shared" si="155"/>
        <v/>
      </c>
      <c r="O158" s="15" t="str">
        <f t="shared" si="155"/>
        <v/>
      </c>
      <c r="P158" s="15" t="str">
        <f t="shared" si="155"/>
        <v/>
      </c>
      <c r="Q158" s="15" t="str">
        <f t="shared" si="155"/>
        <v/>
      </c>
      <c r="R158" s="15" t="str">
        <f t="shared" si="155"/>
        <v/>
      </c>
      <c r="S158" s="15" t="str">
        <f t="shared" si="155"/>
        <v/>
      </c>
      <c r="T158" s="15" t="str">
        <f t="shared" si="155"/>
        <v/>
      </c>
      <c r="U158" s="15" t="str">
        <f t="shared" si="155"/>
        <v/>
      </c>
      <c r="V158" s="15" t="str">
        <f t="shared" si="155"/>
        <v/>
      </c>
      <c r="W158" s="15" t="str">
        <f t="shared" si="155"/>
        <v/>
      </c>
      <c r="X158" s="15" t="str">
        <f t="shared" si="155"/>
        <v/>
      </c>
      <c r="Y158" s="15" t="str">
        <f t="shared" si="155"/>
        <v/>
      </c>
      <c r="Z158" s="15" t="str">
        <f t="shared" si="155"/>
        <v/>
      </c>
      <c r="AA158" s="15" t="str">
        <f t="shared" si="155"/>
        <v/>
      </c>
      <c r="AB158" s="15" t="str">
        <f t="shared" si="155"/>
        <v/>
      </c>
      <c r="AC158" s="15" t="str">
        <f t="shared" si="155"/>
        <v/>
      </c>
      <c r="AD158" s="15" t="str">
        <f t="shared" si="155"/>
        <v/>
      </c>
      <c r="AE158" s="15" t="str">
        <f t="shared" si="155"/>
        <v/>
      </c>
      <c r="AF158" s="15" t="str">
        <f t="shared" si="155"/>
        <v/>
      </c>
      <c r="AG158" s="15" t="str">
        <f t="shared" si="155"/>
        <v/>
      </c>
      <c r="AH158" s="15" t="str">
        <f t="shared" si="155"/>
        <v/>
      </c>
      <c r="AI158" s="15" t="str">
        <f t="shared" si="155"/>
        <v/>
      </c>
      <c r="AJ158" s="15" t="str">
        <f t="shared" si="155"/>
        <v/>
      </c>
      <c r="AK158" s="15" t="str">
        <f t="shared" si="155"/>
        <v/>
      </c>
      <c r="AL158" s="15" t="str">
        <f t="shared" si="155"/>
        <v/>
      </c>
      <c r="AM158" s="15" t="str">
        <f t="shared" si="155"/>
        <v/>
      </c>
      <c r="AN158" s="15" t="str">
        <f t="shared" si="155"/>
        <v/>
      </c>
      <c r="AO158" s="15" t="str">
        <f t="shared" si="155"/>
        <v/>
      </c>
      <c r="AP158" s="15" t="str">
        <f t="shared" si="155"/>
        <v/>
      </c>
      <c r="AQ158" s="15" t="str">
        <f t="shared" si="155"/>
        <v/>
      </c>
      <c r="AR158" s="15" t="str">
        <f t="shared" si="155"/>
        <v/>
      </c>
      <c r="AS158" s="15" t="str">
        <f t="shared" si="155"/>
        <v/>
      </c>
      <c r="AT158" s="15" t="str">
        <f t="shared" si="155"/>
        <v/>
      </c>
      <c r="AU158" s="15" t="str">
        <f t="shared" si="155"/>
        <v/>
      </c>
      <c r="AV158" s="15" t="str">
        <f t="shared" si="155"/>
        <v/>
      </c>
      <c r="AW158" s="15" t="str">
        <f t="shared" si="155"/>
        <v/>
      </c>
      <c r="AX158" s="15" t="str">
        <f t="shared" si="155"/>
        <v/>
      </c>
      <c r="AY158" s="15" t="str">
        <f t="shared" si="155"/>
        <v/>
      </c>
    </row>
    <row r="159" ht="18.0" customHeight="1">
      <c r="A159" s="13" t="str">
        <f t="shared" si="1"/>
        <v/>
      </c>
      <c r="B159" s="13" t="str">
        <f t="shared" si="2"/>
        <v/>
      </c>
      <c r="C159" s="12" t="str">
        <f t="shared" si="3"/>
        <v/>
      </c>
      <c r="D159" s="12" t="str">
        <f t="shared" si="4"/>
        <v/>
      </c>
      <c r="E159" s="12" t="str">
        <f t="shared" si="5"/>
        <v/>
      </c>
      <c r="F159" s="12" t="str">
        <f t="shared" si="6"/>
        <v/>
      </c>
      <c r="G159" s="12" t="str">
        <f t="shared" si="7"/>
        <v/>
      </c>
      <c r="H159" s="12" t="str">
        <f t="shared" si="8"/>
        <v/>
      </c>
      <c r="I159" s="12" t="str">
        <f t="shared" si="9"/>
        <v/>
      </c>
      <c r="J159" s="12" t="str">
        <f t="shared" si="10"/>
        <v/>
      </c>
      <c r="L159" s="15" t="str">
        <f t="shared" ref="L159:AY159" si="156">IF(L$13="","",IF(AND(L$13&gt;$H158,L$13&lt;=$I158),IF(AND(MOD($B$6,2)=1,L$13=ROUNDUP($J158,0)),"0",IF(L$13=INT($H158)+1,ROUNDDOWN(ABS(L$13-$J158),0),IF(L$13=INT($I158),ROUNDUP(ABS(L$13-$J158),0),""))),""))</f>
        <v/>
      </c>
      <c r="M159" s="15" t="str">
        <f t="shared" si="156"/>
        <v/>
      </c>
      <c r="N159" s="15" t="str">
        <f t="shared" si="156"/>
        <v/>
      </c>
      <c r="O159" s="15" t="str">
        <f t="shared" si="156"/>
        <v/>
      </c>
      <c r="P159" s="15" t="str">
        <f t="shared" si="156"/>
        <v/>
      </c>
      <c r="Q159" s="15" t="str">
        <f t="shared" si="156"/>
        <v/>
      </c>
      <c r="R159" s="15" t="str">
        <f t="shared" si="156"/>
        <v/>
      </c>
      <c r="S159" s="15" t="str">
        <f t="shared" si="156"/>
        <v/>
      </c>
      <c r="T159" s="15" t="str">
        <f t="shared" si="156"/>
        <v/>
      </c>
      <c r="U159" s="15" t="str">
        <f t="shared" si="156"/>
        <v/>
      </c>
      <c r="V159" s="15" t="str">
        <f t="shared" si="156"/>
        <v/>
      </c>
      <c r="W159" s="15" t="str">
        <f t="shared" si="156"/>
        <v/>
      </c>
      <c r="X159" s="15" t="str">
        <f t="shared" si="156"/>
        <v/>
      </c>
      <c r="Y159" s="15" t="str">
        <f t="shared" si="156"/>
        <v/>
      </c>
      <c r="Z159" s="15" t="str">
        <f t="shared" si="156"/>
        <v/>
      </c>
      <c r="AA159" s="15" t="str">
        <f t="shared" si="156"/>
        <v/>
      </c>
      <c r="AB159" s="15" t="str">
        <f t="shared" si="156"/>
        <v/>
      </c>
      <c r="AC159" s="15" t="str">
        <f t="shared" si="156"/>
        <v/>
      </c>
      <c r="AD159" s="15" t="str">
        <f t="shared" si="156"/>
        <v/>
      </c>
      <c r="AE159" s="15" t="str">
        <f t="shared" si="156"/>
        <v/>
      </c>
      <c r="AF159" s="15" t="str">
        <f t="shared" si="156"/>
        <v/>
      </c>
      <c r="AG159" s="15" t="str">
        <f t="shared" si="156"/>
        <v/>
      </c>
      <c r="AH159" s="15" t="str">
        <f t="shared" si="156"/>
        <v/>
      </c>
      <c r="AI159" s="15" t="str">
        <f t="shared" si="156"/>
        <v/>
      </c>
      <c r="AJ159" s="15" t="str">
        <f t="shared" si="156"/>
        <v/>
      </c>
      <c r="AK159" s="15" t="str">
        <f t="shared" si="156"/>
        <v/>
      </c>
      <c r="AL159" s="15" t="str">
        <f t="shared" si="156"/>
        <v/>
      </c>
      <c r="AM159" s="15" t="str">
        <f t="shared" si="156"/>
        <v/>
      </c>
      <c r="AN159" s="15" t="str">
        <f t="shared" si="156"/>
        <v/>
      </c>
      <c r="AO159" s="15" t="str">
        <f t="shared" si="156"/>
        <v/>
      </c>
      <c r="AP159" s="15" t="str">
        <f t="shared" si="156"/>
        <v/>
      </c>
      <c r="AQ159" s="15" t="str">
        <f t="shared" si="156"/>
        <v/>
      </c>
      <c r="AR159" s="15" t="str">
        <f t="shared" si="156"/>
        <v/>
      </c>
      <c r="AS159" s="15" t="str">
        <f t="shared" si="156"/>
        <v/>
      </c>
      <c r="AT159" s="15" t="str">
        <f t="shared" si="156"/>
        <v/>
      </c>
      <c r="AU159" s="15" t="str">
        <f t="shared" si="156"/>
        <v/>
      </c>
      <c r="AV159" s="15" t="str">
        <f t="shared" si="156"/>
        <v/>
      </c>
      <c r="AW159" s="15" t="str">
        <f t="shared" si="156"/>
        <v/>
      </c>
      <c r="AX159" s="15" t="str">
        <f t="shared" si="156"/>
        <v/>
      </c>
      <c r="AY159" s="15" t="str">
        <f t="shared" si="156"/>
        <v/>
      </c>
    </row>
    <row r="160" ht="18.0" customHeight="1">
      <c r="A160" s="13" t="str">
        <f t="shared" si="1"/>
        <v/>
      </c>
      <c r="B160" s="13" t="str">
        <f t="shared" si="2"/>
        <v/>
      </c>
      <c r="C160" s="12" t="str">
        <f t="shared" si="3"/>
        <v/>
      </c>
      <c r="D160" s="12" t="str">
        <f t="shared" si="4"/>
        <v/>
      </c>
      <c r="E160" s="12" t="str">
        <f t="shared" si="5"/>
        <v/>
      </c>
      <c r="F160" s="12" t="str">
        <f t="shared" si="6"/>
        <v/>
      </c>
      <c r="G160" s="12" t="str">
        <f t="shared" si="7"/>
        <v/>
      </c>
      <c r="H160" s="12" t="str">
        <f t="shared" si="8"/>
        <v/>
      </c>
      <c r="I160" s="12" t="str">
        <f t="shared" si="9"/>
        <v/>
      </c>
      <c r="J160" s="12" t="str">
        <f t="shared" si="10"/>
        <v/>
      </c>
      <c r="L160" s="15" t="str">
        <f t="shared" ref="L160:AY160" si="157">IF(L$13="","",IF(AND(L$13&gt;$H159,L$13&lt;=$I159),IF(AND(MOD($B$6,2)=1,L$13=ROUNDUP($J159,0)),"0",IF(L$13=INT($H159)+1,ROUNDDOWN(ABS(L$13-$J159),0),IF(L$13=INT($I159),ROUNDUP(ABS(L$13-$J159),0),""))),""))</f>
        <v/>
      </c>
      <c r="M160" s="15" t="str">
        <f t="shared" si="157"/>
        <v/>
      </c>
      <c r="N160" s="15" t="str">
        <f t="shared" si="157"/>
        <v/>
      </c>
      <c r="O160" s="15" t="str">
        <f t="shared" si="157"/>
        <v/>
      </c>
      <c r="P160" s="15" t="str">
        <f t="shared" si="157"/>
        <v/>
      </c>
      <c r="Q160" s="15" t="str">
        <f t="shared" si="157"/>
        <v/>
      </c>
      <c r="R160" s="15" t="str">
        <f t="shared" si="157"/>
        <v/>
      </c>
      <c r="S160" s="15" t="str">
        <f t="shared" si="157"/>
        <v/>
      </c>
      <c r="T160" s="15" t="str">
        <f t="shared" si="157"/>
        <v/>
      </c>
      <c r="U160" s="15" t="str">
        <f t="shared" si="157"/>
        <v/>
      </c>
      <c r="V160" s="15" t="str">
        <f t="shared" si="157"/>
        <v/>
      </c>
      <c r="W160" s="15" t="str">
        <f t="shared" si="157"/>
        <v/>
      </c>
      <c r="X160" s="15" t="str">
        <f t="shared" si="157"/>
        <v/>
      </c>
      <c r="Y160" s="15" t="str">
        <f t="shared" si="157"/>
        <v/>
      </c>
      <c r="Z160" s="15" t="str">
        <f t="shared" si="157"/>
        <v/>
      </c>
      <c r="AA160" s="15" t="str">
        <f t="shared" si="157"/>
        <v/>
      </c>
      <c r="AB160" s="15" t="str">
        <f t="shared" si="157"/>
        <v/>
      </c>
      <c r="AC160" s="15" t="str">
        <f t="shared" si="157"/>
        <v/>
      </c>
      <c r="AD160" s="15" t="str">
        <f t="shared" si="157"/>
        <v/>
      </c>
      <c r="AE160" s="15" t="str">
        <f t="shared" si="157"/>
        <v/>
      </c>
      <c r="AF160" s="15" t="str">
        <f t="shared" si="157"/>
        <v/>
      </c>
      <c r="AG160" s="15" t="str">
        <f t="shared" si="157"/>
        <v/>
      </c>
      <c r="AH160" s="15" t="str">
        <f t="shared" si="157"/>
        <v/>
      </c>
      <c r="AI160" s="15" t="str">
        <f t="shared" si="157"/>
        <v/>
      </c>
      <c r="AJ160" s="15" t="str">
        <f t="shared" si="157"/>
        <v/>
      </c>
      <c r="AK160" s="15" t="str">
        <f t="shared" si="157"/>
        <v/>
      </c>
      <c r="AL160" s="15" t="str">
        <f t="shared" si="157"/>
        <v/>
      </c>
      <c r="AM160" s="15" t="str">
        <f t="shared" si="157"/>
        <v/>
      </c>
      <c r="AN160" s="15" t="str">
        <f t="shared" si="157"/>
        <v/>
      </c>
      <c r="AO160" s="15" t="str">
        <f t="shared" si="157"/>
        <v/>
      </c>
      <c r="AP160" s="15" t="str">
        <f t="shared" si="157"/>
        <v/>
      </c>
      <c r="AQ160" s="15" t="str">
        <f t="shared" si="157"/>
        <v/>
      </c>
      <c r="AR160" s="15" t="str">
        <f t="shared" si="157"/>
        <v/>
      </c>
      <c r="AS160" s="15" t="str">
        <f t="shared" si="157"/>
        <v/>
      </c>
      <c r="AT160" s="15" t="str">
        <f t="shared" si="157"/>
        <v/>
      </c>
      <c r="AU160" s="15" t="str">
        <f t="shared" si="157"/>
        <v/>
      </c>
      <c r="AV160" s="15" t="str">
        <f t="shared" si="157"/>
        <v/>
      </c>
      <c r="AW160" s="15" t="str">
        <f t="shared" si="157"/>
        <v/>
      </c>
      <c r="AX160" s="15" t="str">
        <f t="shared" si="157"/>
        <v/>
      </c>
      <c r="AY160" s="15" t="str">
        <f t="shared" si="157"/>
        <v/>
      </c>
    </row>
    <row r="161" ht="18.0" customHeight="1">
      <c r="A161" s="13" t="str">
        <f t="shared" si="1"/>
        <v/>
      </c>
      <c r="B161" s="13" t="str">
        <f t="shared" si="2"/>
        <v/>
      </c>
      <c r="C161" s="12" t="str">
        <f t="shared" si="3"/>
        <v/>
      </c>
      <c r="D161" s="12" t="str">
        <f t="shared" si="4"/>
        <v/>
      </c>
      <c r="E161" s="12" t="str">
        <f t="shared" si="5"/>
        <v/>
      </c>
      <c r="F161" s="12" t="str">
        <f t="shared" si="6"/>
        <v/>
      </c>
      <c r="G161" s="12" t="str">
        <f t="shared" si="7"/>
        <v/>
      </c>
      <c r="H161" s="12" t="str">
        <f t="shared" si="8"/>
        <v/>
      </c>
      <c r="I161" s="12" t="str">
        <f t="shared" si="9"/>
        <v/>
      </c>
      <c r="J161" s="12" t="str">
        <f t="shared" si="10"/>
        <v/>
      </c>
      <c r="L161" s="15" t="str">
        <f t="shared" ref="L161:AY161" si="158">IF(L$13="","",IF(AND(L$13&gt;$H160,L$13&lt;=$I160),IF(AND(MOD($B$6,2)=1,L$13=ROUNDUP($J160,0)),"0",IF(L$13=INT($H160)+1,ROUNDDOWN(ABS(L$13-$J160),0),IF(L$13=INT($I160),ROUNDUP(ABS(L$13-$J160),0),""))),""))</f>
        <v/>
      </c>
      <c r="M161" s="15" t="str">
        <f t="shared" si="158"/>
        <v/>
      </c>
      <c r="N161" s="15" t="str">
        <f t="shared" si="158"/>
        <v/>
      </c>
      <c r="O161" s="15" t="str">
        <f t="shared" si="158"/>
        <v/>
      </c>
      <c r="P161" s="15" t="str">
        <f t="shared" si="158"/>
        <v/>
      </c>
      <c r="Q161" s="15" t="str">
        <f t="shared" si="158"/>
        <v/>
      </c>
      <c r="R161" s="15" t="str">
        <f t="shared" si="158"/>
        <v/>
      </c>
      <c r="S161" s="15" t="str">
        <f t="shared" si="158"/>
        <v/>
      </c>
      <c r="T161" s="15" t="str">
        <f t="shared" si="158"/>
        <v/>
      </c>
      <c r="U161" s="15" t="str">
        <f t="shared" si="158"/>
        <v/>
      </c>
      <c r="V161" s="15" t="str">
        <f t="shared" si="158"/>
        <v/>
      </c>
      <c r="W161" s="15" t="str">
        <f t="shared" si="158"/>
        <v/>
      </c>
      <c r="X161" s="15" t="str">
        <f t="shared" si="158"/>
        <v/>
      </c>
      <c r="Y161" s="15" t="str">
        <f t="shared" si="158"/>
        <v/>
      </c>
      <c r="Z161" s="15" t="str">
        <f t="shared" si="158"/>
        <v/>
      </c>
      <c r="AA161" s="15" t="str">
        <f t="shared" si="158"/>
        <v/>
      </c>
      <c r="AB161" s="15" t="str">
        <f t="shared" si="158"/>
        <v/>
      </c>
      <c r="AC161" s="15" t="str">
        <f t="shared" si="158"/>
        <v/>
      </c>
      <c r="AD161" s="15" t="str">
        <f t="shared" si="158"/>
        <v/>
      </c>
      <c r="AE161" s="15" t="str">
        <f t="shared" si="158"/>
        <v/>
      </c>
      <c r="AF161" s="15" t="str">
        <f t="shared" si="158"/>
        <v/>
      </c>
      <c r="AG161" s="15" t="str">
        <f t="shared" si="158"/>
        <v/>
      </c>
      <c r="AH161" s="15" t="str">
        <f t="shared" si="158"/>
        <v/>
      </c>
      <c r="AI161" s="15" t="str">
        <f t="shared" si="158"/>
        <v/>
      </c>
      <c r="AJ161" s="15" t="str">
        <f t="shared" si="158"/>
        <v/>
      </c>
      <c r="AK161" s="15" t="str">
        <f t="shared" si="158"/>
        <v/>
      </c>
      <c r="AL161" s="15" t="str">
        <f t="shared" si="158"/>
        <v/>
      </c>
      <c r="AM161" s="15" t="str">
        <f t="shared" si="158"/>
        <v/>
      </c>
      <c r="AN161" s="15" t="str">
        <f t="shared" si="158"/>
        <v/>
      </c>
      <c r="AO161" s="15" t="str">
        <f t="shared" si="158"/>
        <v/>
      </c>
      <c r="AP161" s="15" t="str">
        <f t="shared" si="158"/>
        <v/>
      </c>
      <c r="AQ161" s="15" t="str">
        <f t="shared" si="158"/>
        <v/>
      </c>
      <c r="AR161" s="15" t="str">
        <f t="shared" si="158"/>
        <v/>
      </c>
      <c r="AS161" s="15" t="str">
        <f t="shared" si="158"/>
        <v/>
      </c>
      <c r="AT161" s="15" t="str">
        <f t="shared" si="158"/>
        <v/>
      </c>
      <c r="AU161" s="15" t="str">
        <f t="shared" si="158"/>
        <v/>
      </c>
      <c r="AV161" s="15" t="str">
        <f t="shared" si="158"/>
        <v/>
      </c>
      <c r="AW161" s="15" t="str">
        <f t="shared" si="158"/>
        <v/>
      </c>
      <c r="AX161" s="15" t="str">
        <f t="shared" si="158"/>
        <v/>
      </c>
      <c r="AY161" s="15" t="str">
        <f t="shared" si="158"/>
        <v/>
      </c>
    </row>
    <row r="162" ht="18.0" customHeight="1">
      <c r="A162" s="13" t="str">
        <f t="shared" si="1"/>
        <v/>
      </c>
      <c r="B162" s="13" t="str">
        <f t="shared" si="2"/>
        <v/>
      </c>
      <c r="C162" s="12" t="str">
        <f t="shared" si="3"/>
        <v/>
      </c>
      <c r="D162" s="12" t="str">
        <f t="shared" si="4"/>
        <v/>
      </c>
      <c r="E162" s="12" t="str">
        <f t="shared" si="5"/>
        <v/>
      </c>
      <c r="F162" s="12" t="str">
        <f t="shared" si="6"/>
        <v/>
      </c>
      <c r="G162" s="12" t="str">
        <f t="shared" si="7"/>
        <v/>
      </c>
      <c r="H162" s="12" t="str">
        <f t="shared" si="8"/>
        <v/>
      </c>
      <c r="I162" s="12" t="str">
        <f t="shared" si="9"/>
        <v/>
      </c>
      <c r="J162" s="12" t="str">
        <f t="shared" si="10"/>
        <v/>
      </c>
      <c r="L162" s="15" t="str">
        <f t="shared" ref="L162:AY162" si="159">IF(L$13="","",IF(AND(L$13&gt;$H161,L$13&lt;=$I161),IF(AND(MOD($B$6,2)=1,L$13=ROUNDUP($J161,0)),"0",IF(L$13=INT($H161)+1,ROUNDDOWN(ABS(L$13-$J161),0),IF(L$13=INT($I161),ROUNDUP(ABS(L$13-$J161),0),""))),""))</f>
        <v/>
      </c>
      <c r="M162" s="15" t="str">
        <f t="shared" si="159"/>
        <v/>
      </c>
      <c r="N162" s="15" t="str">
        <f t="shared" si="159"/>
        <v/>
      </c>
      <c r="O162" s="15" t="str">
        <f t="shared" si="159"/>
        <v/>
      </c>
      <c r="P162" s="15" t="str">
        <f t="shared" si="159"/>
        <v/>
      </c>
      <c r="Q162" s="15" t="str">
        <f t="shared" si="159"/>
        <v/>
      </c>
      <c r="R162" s="15" t="str">
        <f t="shared" si="159"/>
        <v/>
      </c>
      <c r="S162" s="15" t="str">
        <f t="shared" si="159"/>
        <v/>
      </c>
      <c r="T162" s="15" t="str">
        <f t="shared" si="159"/>
        <v/>
      </c>
      <c r="U162" s="15" t="str">
        <f t="shared" si="159"/>
        <v/>
      </c>
      <c r="V162" s="15" t="str">
        <f t="shared" si="159"/>
        <v/>
      </c>
      <c r="W162" s="15" t="str">
        <f t="shared" si="159"/>
        <v/>
      </c>
      <c r="X162" s="15" t="str">
        <f t="shared" si="159"/>
        <v/>
      </c>
      <c r="Y162" s="15" t="str">
        <f t="shared" si="159"/>
        <v/>
      </c>
      <c r="Z162" s="15" t="str">
        <f t="shared" si="159"/>
        <v/>
      </c>
      <c r="AA162" s="15" t="str">
        <f t="shared" si="159"/>
        <v/>
      </c>
      <c r="AB162" s="15" t="str">
        <f t="shared" si="159"/>
        <v/>
      </c>
      <c r="AC162" s="15" t="str">
        <f t="shared" si="159"/>
        <v/>
      </c>
      <c r="AD162" s="15" t="str">
        <f t="shared" si="159"/>
        <v/>
      </c>
      <c r="AE162" s="15" t="str">
        <f t="shared" si="159"/>
        <v/>
      </c>
      <c r="AF162" s="15" t="str">
        <f t="shared" si="159"/>
        <v/>
      </c>
      <c r="AG162" s="15" t="str">
        <f t="shared" si="159"/>
        <v/>
      </c>
      <c r="AH162" s="15" t="str">
        <f t="shared" si="159"/>
        <v/>
      </c>
      <c r="AI162" s="15" t="str">
        <f t="shared" si="159"/>
        <v/>
      </c>
      <c r="AJ162" s="15" t="str">
        <f t="shared" si="159"/>
        <v/>
      </c>
      <c r="AK162" s="15" t="str">
        <f t="shared" si="159"/>
        <v/>
      </c>
      <c r="AL162" s="15" t="str">
        <f t="shared" si="159"/>
        <v/>
      </c>
      <c r="AM162" s="15" t="str">
        <f t="shared" si="159"/>
        <v/>
      </c>
      <c r="AN162" s="15" t="str">
        <f t="shared" si="159"/>
        <v/>
      </c>
      <c r="AO162" s="15" t="str">
        <f t="shared" si="159"/>
        <v/>
      </c>
      <c r="AP162" s="15" t="str">
        <f t="shared" si="159"/>
        <v/>
      </c>
      <c r="AQ162" s="15" t="str">
        <f t="shared" si="159"/>
        <v/>
      </c>
      <c r="AR162" s="15" t="str">
        <f t="shared" si="159"/>
        <v/>
      </c>
      <c r="AS162" s="15" t="str">
        <f t="shared" si="159"/>
        <v/>
      </c>
      <c r="AT162" s="15" t="str">
        <f t="shared" si="159"/>
        <v/>
      </c>
      <c r="AU162" s="15" t="str">
        <f t="shared" si="159"/>
        <v/>
      </c>
      <c r="AV162" s="15" t="str">
        <f t="shared" si="159"/>
        <v/>
      </c>
      <c r="AW162" s="15" t="str">
        <f t="shared" si="159"/>
        <v/>
      </c>
      <c r="AX162" s="15" t="str">
        <f t="shared" si="159"/>
        <v/>
      </c>
      <c r="AY162" s="15" t="str">
        <f t="shared" si="159"/>
        <v/>
      </c>
    </row>
    <row r="163" ht="18.0" customHeight="1">
      <c r="A163" s="13" t="str">
        <f t="shared" si="1"/>
        <v/>
      </c>
      <c r="B163" s="13" t="str">
        <f t="shared" si="2"/>
        <v/>
      </c>
      <c r="C163" s="12" t="str">
        <f t="shared" si="3"/>
        <v/>
      </c>
      <c r="D163" s="12" t="str">
        <f t="shared" si="4"/>
        <v/>
      </c>
      <c r="E163" s="12" t="str">
        <f t="shared" si="5"/>
        <v/>
      </c>
      <c r="F163" s="12" t="str">
        <f t="shared" si="6"/>
        <v/>
      </c>
      <c r="G163" s="12" t="str">
        <f t="shared" si="7"/>
        <v/>
      </c>
      <c r="H163" s="12" t="str">
        <f t="shared" si="8"/>
        <v/>
      </c>
      <c r="I163" s="12" t="str">
        <f t="shared" si="9"/>
        <v/>
      </c>
      <c r="J163" s="12" t="str">
        <f t="shared" si="10"/>
        <v/>
      </c>
      <c r="L163" s="15" t="str">
        <f t="shared" ref="L163:AY163" si="160">IF(L$13="","",IF(AND(L$13&gt;$H162,L$13&lt;=$I162),IF(AND(MOD($B$6,2)=1,L$13=ROUNDUP($J162,0)),"0",IF(L$13=INT($H162)+1,ROUNDDOWN(ABS(L$13-$J162),0),IF(L$13=INT($I162),ROUNDUP(ABS(L$13-$J162),0),""))),""))</f>
        <v/>
      </c>
      <c r="M163" s="15" t="str">
        <f t="shared" si="160"/>
        <v/>
      </c>
      <c r="N163" s="15" t="str">
        <f t="shared" si="160"/>
        <v/>
      </c>
      <c r="O163" s="15" t="str">
        <f t="shared" si="160"/>
        <v/>
      </c>
      <c r="P163" s="15" t="str">
        <f t="shared" si="160"/>
        <v/>
      </c>
      <c r="Q163" s="15" t="str">
        <f t="shared" si="160"/>
        <v/>
      </c>
      <c r="R163" s="15" t="str">
        <f t="shared" si="160"/>
        <v/>
      </c>
      <c r="S163" s="15" t="str">
        <f t="shared" si="160"/>
        <v/>
      </c>
      <c r="T163" s="15" t="str">
        <f t="shared" si="160"/>
        <v/>
      </c>
      <c r="U163" s="15" t="str">
        <f t="shared" si="160"/>
        <v/>
      </c>
      <c r="V163" s="15" t="str">
        <f t="shared" si="160"/>
        <v/>
      </c>
      <c r="W163" s="15" t="str">
        <f t="shared" si="160"/>
        <v/>
      </c>
      <c r="X163" s="15" t="str">
        <f t="shared" si="160"/>
        <v/>
      </c>
      <c r="Y163" s="15" t="str">
        <f t="shared" si="160"/>
        <v/>
      </c>
      <c r="Z163" s="15" t="str">
        <f t="shared" si="160"/>
        <v/>
      </c>
      <c r="AA163" s="15" t="str">
        <f t="shared" si="160"/>
        <v/>
      </c>
      <c r="AB163" s="15" t="str">
        <f t="shared" si="160"/>
        <v/>
      </c>
      <c r="AC163" s="15" t="str">
        <f t="shared" si="160"/>
        <v/>
      </c>
      <c r="AD163" s="15" t="str">
        <f t="shared" si="160"/>
        <v/>
      </c>
      <c r="AE163" s="15" t="str">
        <f t="shared" si="160"/>
        <v/>
      </c>
      <c r="AF163" s="15" t="str">
        <f t="shared" si="160"/>
        <v/>
      </c>
      <c r="AG163" s="15" t="str">
        <f t="shared" si="160"/>
        <v/>
      </c>
      <c r="AH163" s="15" t="str">
        <f t="shared" si="160"/>
        <v/>
      </c>
      <c r="AI163" s="15" t="str">
        <f t="shared" si="160"/>
        <v/>
      </c>
      <c r="AJ163" s="15" t="str">
        <f t="shared" si="160"/>
        <v/>
      </c>
      <c r="AK163" s="15" t="str">
        <f t="shared" si="160"/>
        <v/>
      </c>
      <c r="AL163" s="15" t="str">
        <f t="shared" si="160"/>
        <v/>
      </c>
      <c r="AM163" s="15" t="str">
        <f t="shared" si="160"/>
        <v/>
      </c>
      <c r="AN163" s="15" t="str">
        <f t="shared" si="160"/>
        <v/>
      </c>
      <c r="AO163" s="15" t="str">
        <f t="shared" si="160"/>
        <v/>
      </c>
      <c r="AP163" s="15" t="str">
        <f t="shared" si="160"/>
        <v/>
      </c>
      <c r="AQ163" s="15" t="str">
        <f t="shared" si="160"/>
        <v/>
      </c>
      <c r="AR163" s="15" t="str">
        <f t="shared" si="160"/>
        <v/>
      </c>
      <c r="AS163" s="15" t="str">
        <f t="shared" si="160"/>
        <v/>
      </c>
      <c r="AT163" s="15" t="str">
        <f t="shared" si="160"/>
        <v/>
      </c>
      <c r="AU163" s="15" t="str">
        <f t="shared" si="160"/>
        <v/>
      </c>
      <c r="AV163" s="15" t="str">
        <f t="shared" si="160"/>
        <v/>
      </c>
      <c r="AW163" s="15" t="str">
        <f t="shared" si="160"/>
        <v/>
      </c>
      <c r="AX163" s="15" t="str">
        <f t="shared" si="160"/>
        <v/>
      </c>
      <c r="AY163" s="15" t="str">
        <f t="shared" si="160"/>
        <v/>
      </c>
    </row>
    <row r="164" ht="18.0" customHeight="1">
      <c r="A164" s="13" t="str">
        <f t="shared" si="1"/>
        <v/>
      </c>
      <c r="B164" s="13" t="str">
        <f t="shared" si="2"/>
        <v/>
      </c>
      <c r="C164" s="12" t="str">
        <f t="shared" si="3"/>
        <v/>
      </c>
      <c r="D164" s="12" t="str">
        <f t="shared" si="4"/>
        <v/>
      </c>
      <c r="E164" s="12" t="str">
        <f t="shared" si="5"/>
        <v/>
      </c>
      <c r="F164" s="12" t="str">
        <f t="shared" si="6"/>
        <v/>
      </c>
      <c r="G164" s="12" t="str">
        <f t="shared" si="7"/>
        <v/>
      </c>
      <c r="H164" s="12" t="str">
        <f t="shared" si="8"/>
        <v/>
      </c>
      <c r="I164" s="12" t="str">
        <f t="shared" si="9"/>
        <v/>
      </c>
      <c r="J164" s="12" t="str">
        <f t="shared" si="10"/>
        <v/>
      </c>
      <c r="L164" s="15" t="str">
        <f t="shared" ref="L164:AY164" si="161">IF(L$13="","",IF(AND(L$13&gt;$H163,L$13&lt;=$I163),IF(AND(MOD($B$6,2)=1,L$13=ROUNDUP($J163,0)),"0",IF(L$13=INT($H163)+1,ROUNDDOWN(ABS(L$13-$J163),0),IF(L$13=INT($I163),ROUNDUP(ABS(L$13-$J163),0),""))),""))</f>
        <v/>
      </c>
      <c r="M164" s="15" t="str">
        <f t="shared" si="161"/>
        <v/>
      </c>
      <c r="N164" s="15" t="str">
        <f t="shared" si="161"/>
        <v/>
      </c>
      <c r="O164" s="15" t="str">
        <f t="shared" si="161"/>
        <v/>
      </c>
      <c r="P164" s="15" t="str">
        <f t="shared" si="161"/>
        <v/>
      </c>
      <c r="Q164" s="15" t="str">
        <f t="shared" si="161"/>
        <v/>
      </c>
      <c r="R164" s="15" t="str">
        <f t="shared" si="161"/>
        <v/>
      </c>
      <c r="S164" s="15" t="str">
        <f t="shared" si="161"/>
        <v/>
      </c>
      <c r="T164" s="15" t="str">
        <f t="shared" si="161"/>
        <v/>
      </c>
      <c r="U164" s="15" t="str">
        <f t="shared" si="161"/>
        <v/>
      </c>
      <c r="V164" s="15" t="str">
        <f t="shared" si="161"/>
        <v/>
      </c>
      <c r="W164" s="15" t="str">
        <f t="shared" si="161"/>
        <v/>
      </c>
      <c r="X164" s="15" t="str">
        <f t="shared" si="161"/>
        <v/>
      </c>
      <c r="Y164" s="15" t="str">
        <f t="shared" si="161"/>
        <v/>
      </c>
      <c r="Z164" s="15" t="str">
        <f t="shared" si="161"/>
        <v/>
      </c>
      <c r="AA164" s="15" t="str">
        <f t="shared" si="161"/>
        <v/>
      </c>
      <c r="AB164" s="15" t="str">
        <f t="shared" si="161"/>
        <v/>
      </c>
      <c r="AC164" s="15" t="str">
        <f t="shared" si="161"/>
        <v/>
      </c>
      <c r="AD164" s="15" t="str">
        <f t="shared" si="161"/>
        <v/>
      </c>
      <c r="AE164" s="15" t="str">
        <f t="shared" si="161"/>
        <v/>
      </c>
      <c r="AF164" s="15" t="str">
        <f t="shared" si="161"/>
        <v/>
      </c>
      <c r="AG164" s="15" t="str">
        <f t="shared" si="161"/>
        <v/>
      </c>
      <c r="AH164" s="15" t="str">
        <f t="shared" si="161"/>
        <v/>
      </c>
      <c r="AI164" s="15" t="str">
        <f t="shared" si="161"/>
        <v/>
      </c>
      <c r="AJ164" s="15" t="str">
        <f t="shared" si="161"/>
        <v/>
      </c>
      <c r="AK164" s="15" t="str">
        <f t="shared" si="161"/>
        <v/>
      </c>
      <c r="AL164" s="15" t="str">
        <f t="shared" si="161"/>
        <v/>
      </c>
      <c r="AM164" s="15" t="str">
        <f t="shared" si="161"/>
        <v/>
      </c>
      <c r="AN164" s="15" t="str">
        <f t="shared" si="161"/>
        <v/>
      </c>
      <c r="AO164" s="15" t="str">
        <f t="shared" si="161"/>
        <v/>
      </c>
      <c r="AP164" s="15" t="str">
        <f t="shared" si="161"/>
        <v/>
      </c>
      <c r="AQ164" s="15" t="str">
        <f t="shared" si="161"/>
        <v/>
      </c>
      <c r="AR164" s="15" t="str">
        <f t="shared" si="161"/>
        <v/>
      </c>
      <c r="AS164" s="15" t="str">
        <f t="shared" si="161"/>
        <v/>
      </c>
      <c r="AT164" s="15" t="str">
        <f t="shared" si="161"/>
        <v/>
      </c>
      <c r="AU164" s="15" t="str">
        <f t="shared" si="161"/>
        <v/>
      </c>
      <c r="AV164" s="15" t="str">
        <f t="shared" si="161"/>
        <v/>
      </c>
      <c r="AW164" s="15" t="str">
        <f t="shared" si="161"/>
        <v/>
      </c>
      <c r="AX164" s="15" t="str">
        <f t="shared" si="161"/>
        <v/>
      </c>
      <c r="AY164" s="15" t="str">
        <f t="shared" si="161"/>
        <v/>
      </c>
    </row>
    <row r="165" ht="18.0" customHeight="1">
      <c r="A165" s="13" t="str">
        <f t="shared" si="1"/>
        <v/>
      </c>
      <c r="B165" s="13" t="str">
        <f t="shared" si="2"/>
        <v/>
      </c>
      <c r="C165" s="12" t="str">
        <f t="shared" si="3"/>
        <v/>
      </c>
      <c r="D165" s="12" t="str">
        <f t="shared" si="4"/>
        <v/>
      </c>
      <c r="E165" s="12" t="str">
        <f t="shared" si="5"/>
        <v/>
      </c>
      <c r="F165" s="12" t="str">
        <f t="shared" si="6"/>
        <v/>
      </c>
      <c r="G165" s="12" t="str">
        <f t="shared" si="7"/>
        <v/>
      </c>
      <c r="H165" s="12" t="str">
        <f t="shared" si="8"/>
        <v/>
      </c>
      <c r="I165" s="12" t="str">
        <f t="shared" si="9"/>
        <v/>
      </c>
      <c r="J165" s="12" t="str">
        <f t="shared" si="10"/>
        <v/>
      </c>
      <c r="L165" s="15" t="str">
        <f t="shared" ref="L165:AY165" si="162">IF(L$13="","",IF(AND(L$13&gt;$H164,L$13&lt;=$I164),IF(AND(MOD($B$6,2)=1,L$13=ROUNDUP($J164,0)),"0",IF(L$13=INT($H164)+1,ROUNDDOWN(ABS(L$13-$J164),0),IF(L$13=INT($I164),ROUNDUP(ABS(L$13-$J164),0),""))),""))</f>
        <v/>
      </c>
      <c r="M165" s="15" t="str">
        <f t="shared" si="162"/>
        <v/>
      </c>
      <c r="N165" s="15" t="str">
        <f t="shared" si="162"/>
        <v/>
      </c>
      <c r="O165" s="15" t="str">
        <f t="shared" si="162"/>
        <v/>
      </c>
      <c r="P165" s="15" t="str">
        <f t="shared" si="162"/>
        <v/>
      </c>
      <c r="Q165" s="15" t="str">
        <f t="shared" si="162"/>
        <v/>
      </c>
      <c r="R165" s="15" t="str">
        <f t="shared" si="162"/>
        <v/>
      </c>
      <c r="S165" s="15" t="str">
        <f t="shared" si="162"/>
        <v/>
      </c>
      <c r="T165" s="15" t="str">
        <f t="shared" si="162"/>
        <v/>
      </c>
      <c r="U165" s="15" t="str">
        <f t="shared" si="162"/>
        <v/>
      </c>
      <c r="V165" s="15" t="str">
        <f t="shared" si="162"/>
        <v/>
      </c>
      <c r="W165" s="15" t="str">
        <f t="shared" si="162"/>
        <v/>
      </c>
      <c r="X165" s="15" t="str">
        <f t="shared" si="162"/>
        <v/>
      </c>
      <c r="Y165" s="15" t="str">
        <f t="shared" si="162"/>
        <v/>
      </c>
      <c r="Z165" s="15" t="str">
        <f t="shared" si="162"/>
        <v/>
      </c>
      <c r="AA165" s="15" t="str">
        <f t="shared" si="162"/>
        <v/>
      </c>
      <c r="AB165" s="15" t="str">
        <f t="shared" si="162"/>
        <v/>
      </c>
      <c r="AC165" s="15" t="str">
        <f t="shared" si="162"/>
        <v/>
      </c>
      <c r="AD165" s="15" t="str">
        <f t="shared" si="162"/>
        <v/>
      </c>
      <c r="AE165" s="15" t="str">
        <f t="shared" si="162"/>
        <v/>
      </c>
      <c r="AF165" s="15" t="str">
        <f t="shared" si="162"/>
        <v/>
      </c>
      <c r="AG165" s="15" t="str">
        <f t="shared" si="162"/>
        <v/>
      </c>
      <c r="AH165" s="15" t="str">
        <f t="shared" si="162"/>
        <v/>
      </c>
      <c r="AI165" s="15" t="str">
        <f t="shared" si="162"/>
        <v/>
      </c>
      <c r="AJ165" s="15" t="str">
        <f t="shared" si="162"/>
        <v/>
      </c>
      <c r="AK165" s="15" t="str">
        <f t="shared" si="162"/>
        <v/>
      </c>
      <c r="AL165" s="15" t="str">
        <f t="shared" si="162"/>
        <v/>
      </c>
      <c r="AM165" s="15" t="str">
        <f t="shared" si="162"/>
        <v/>
      </c>
      <c r="AN165" s="15" t="str">
        <f t="shared" si="162"/>
        <v/>
      </c>
      <c r="AO165" s="15" t="str">
        <f t="shared" si="162"/>
        <v/>
      </c>
      <c r="AP165" s="15" t="str">
        <f t="shared" si="162"/>
        <v/>
      </c>
      <c r="AQ165" s="15" t="str">
        <f t="shared" si="162"/>
        <v/>
      </c>
      <c r="AR165" s="15" t="str">
        <f t="shared" si="162"/>
        <v/>
      </c>
      <c r="AS165" s="15" t="str">
        <f t="shared" si="162"/>
        <v/>
      </c>
      <c r="AT165" s="15" t="str">
        <f t="shared" si="162"/>
        <v/>
      </c>
      <c r="AU165" s="15" t="str">
        <f t="shared" si="162"/>
        <v/>
      </c>
      <c r="AV165" s="15" t="str">
        <f t="shared" si="162"/>
        <v/>
      </c>
      <c r="AW165" s="15" t="str">
        <f t="shared" si="162"/>
        <v/>
      </c>
      <c r="AX165" s="15" t="str">
        <f t="shared" si="162"/>
        <v/>
      </c>
      <c r="AY165" s="15" t="str">
        <f t="shared" si="162"/>
        <v/>
      </c>
    </row>
    <row r="166" ht="18.0" customHeight="1">
      <c r="A166" s="13" t="str">
        <f t="shared" si="1"/>
        <v/>
      </c>
      <c r="B166" s="13" t="str">
        <f t="shared" si="2"/>
        <v/>
      </c>
      <c r="C166" s="12" t="str">
        <f t="shared" si="3"/>
        <v/>
      </c>
      <c r="D166" s="12" t="str">
        <f t="shared" si="4"/>
        <v/>
      </c>
      <c r="E166" s="12" t="str">
        <f t="shared" si="5"/>
        <v/>
      </c>
      <c r="F166" s="12" t="str">
        <f t="shared" si="6"/>
        <v/>
      </c>
      <c r="G166" s="12" t="str">
        <f t="shared" si="7"/>
        <v/>
      </c>
      <c r="H166" s="12" t="str">
        <f t="shared" si="8"/>
        <v/>
      </c>
      <c r="I166" s="12" t="str">
        <f t="shared" si="9"/>
        <v/>
      </c>
      <c r="J166" s="12" t="str">
        <f t="shared" si="10"/>
        <v/>
      </c>
      <c r="L166" s="15" t="str">
        <f t="shared" ref="L166:AY166" si="163">IF(L$13="","",IF(AND(L$13&gt;$H165,L$13&lt;=$I165),IF(AND(MOD($B$6,2)=1,L$13=ROUNDUP($J165,0)),"0",IF(L$13=INT($H165)+1,ROUNDDOWN(ABS(L$13-$J165),0),IF(L$13=INT($I165),ROUNDUP(ABS(L$13-$J165),0),""))),""))</f>
        <v/>
      </c>
      <c r="M166" s="15" t="str">
        <f t="shared" si="163"/>
        <v/>
      </c>
      <c r="N166" s="15" t="str">
        <f t="shared" si="163"/>
        <v/>
      </c>
      <c r="O166" s="15" t="str">
        <f t="shared" si="163"/>
        <v/>
      </c>
      <c r="P166" s="15" t="str">
        <f t="shared" si="163"/>
        <v/>
      </c>
      <c r="Q166" s="15" t="str">
        <f t="shared" si="163"/>
        <v/>
      </c>
      <c r="R166" s="15" t="str">
        <f t="shared" si="163"/>
        <v/>
      </c>
      <c r="S166" s="15" t="str">
        <f t="shared" si="163"/>
        <v/>
      </c>
      <c r="T166" s="15" t="str">
        <f t="shared" si="163"/>
        <v/>
      </c>
      <c r="U166" s="15" t="str">
        <f t="shared" si="163"/>
        <v/>
      </c>
      <c r="V166" s="15" t="str">
        <f t="shared" si="163"/>
        <v/>
      </c>
      <c r="W166" s="15" t="str">
        <f t="shared" si="163"/>
        <v/>
      </c>
      <c r="X166" s="15" t="str">
        <f t="shared" si="163"/>
        <v/>
      </c>
      <c r="Y166" s="15" t="str">
        <f t="shared" si="163"/>
        <v/>
      </c>
      <c r="Z166" s="15" t="str">
        <f t="shared" si="163"/>
        <v/>
      </c>
      <c r="AA166" s="15" t="str">
        <f t="shared" si="163"/>
        <v/>
      </c>
      <c r="AB166" s="15" t="str">
        <f t="shared" si="163"/>
        <v/>
      </c>
      <c r="AC166" s="15" t="str">
        <f t="shared" si="163"/>
        <v/>
      </c>
      <c r="AD166" s="15" t="str">
        <f t="shared" si="163"/>
        <v/>
      </c>
      <c r="AE166" s="15" t="str">
        <f t="shared" si="163"/>
        <v/>
      </c>
      <c r="AF166" s="15" t="str">
        <f t="shared" si="163"/>
        <v/>
      </c>
      <c r="AG166" s="15" t="str">
        <f t="shared" si="163"/>
        <v/>
      </c>
      <c r="AH166" s="15" t="str">
        <f t="shared" si="163"/>
        <v/>
      </c>
      <c r="AI166" s="15" t="str">
        <f t="shared" si="163"/>
        <v/>
      </c>
      <c r="AJ166" s="15" t="str">
        <f t="shared" si="163"/>
        <v/>
      </c>
      <c r="AK166" s="15" t="str">
        <f t="shared" si="163"/>
        <v/>
      </c>
      <c r="AL166" s="15" t="str">
        <f t="shared" si="163"/>
        <v/>
      </c>
      <c r="AM166" s="15" t="str">
        <f t="shared" si="163"/>
        <v/>
      </c>
      <c r="AN166" s="15" t="str">
        <f t="shared" si="163"/>
        <v/>
      </c>
      <c r="AO166" s="15" t="str">
        <f t="shared" si="163"/>
        <v/>
      </c>
      <c r="AP166" s="15" t="str">
        <f t="shared" si="163"/>
        <v/>
      </c>
      <c r="AQ166" s="15" t="str">
        <f t="shared" si="163"/>
        <v/>
      </c>
      <c r="AR166" s="15" t="str">
        <f t="shared" si="163"/>
        <v/>
      </c>
      <c r="AS166" s="15" t="str">
        <f t="shared" si="163"/>
        <v/>
      </c>
      <c r="AT166" s="15" t="str">
        <f t="shared" si="163"/>
        <v/>
      </c>
      <c r="AU166" s="15" t="str">
        <f t="shared" si="163"/>
        <v/>
      </c>
      <c r="AV166" s="15" t="str">
        <f t="shared" si="163"/>
        <v/>
      </c>
      <c r="AW166" s="15" t="str">
        <f t="shared" si="163"/>
        <v/>
      </c>
      <c r="AX166" s="15" t="str">
        <f t="shared" si="163"/>
        <v/>
      </c>
      <c r="AY166" s="15" t="str">
        <f t="shared" si="163"/>
        <v/>
      </c>
    </row>
    <row r="167" ht="18.0" customHeight="1">
      <c r="A167" s="13" t="str">
        <f t="shared" si="1"/>
        <v/>
      </c>
      <c r="B167" s="13" t="str">
        <f t="shared" si="2"/>
        <v/>
      </c>
      <c r="C167" s="12" t="str">
        <f t="shared" si="3"/>
        <v/>
      </c>
      <c r="D167" s="12" t="str">
        <f t="shared" si="4"/>
        <v/>
      </c>
      <c r="E167" s="12" t="str">
        <f t="shared" si="5"/>
        <v/>
      </c>
      <c r="F167" s="12" t="str">
        <f t="shared" si="6"/>
        <v/>
      </c>
      <c r="G167" s="12" t="str">
        <f t="shared" si="7"/>
        <v/>
      </c>
      <c r="H167" s="12" t="str">
        <f t="shared" si="8"/>
        <v/>
      </c>
      <c r="I167" s="12" t="str">
        <f t="shared" si="9"/>
        <v/>
      </c>
      <c r="J167" s="12" t="str">
        <f t="shared" si="10"/>
        <v/>
      </c>
      <c r="L167" s="15" t="str">
        <f t="shared" ref="L167:AY167" si="164">IF(L$13="","",IF(AND(L$13&gt;$H166,L$13&lt;=$I166),IF(AND(MOD($B$6,2)=1,L$13=ROUNDUP($J166,0)),"0",IF(L$13=INT($H166)+1,ROUNDDOWN(ABS(L$13-$J166),0),IF(L$13=INT($I166),ROUNDUP(ABS(L$13-$J166),0),""))),""))</f>
        <v/>
      </c>
      <c r="M167" s="15" t="str">
        <f t="shared" si="164"/>
        <v/>
      </c>
      <c r="N167" s="15" t="str">
        <f t="shared" si="164"/>
        <v/>
      </c>
      <c r="O167" s="15" t="str">
        <f t="shared" si="164"/>
        <v/>
      </c>
      <c r="P167" s="15" t="str">
        <f t="shared" si="164"/>
        <v/>
      </c>
      <c r="Q167" s="15" t="str">
        <f t="shared" si="164"/>
        <v/>
      </c>
      <c r="R167" s="15" t="str">
        <f t="shared" si="164"/>
        <v/>
      </c>
      <c r="S167" s="15" t="str">
        <f t="shared" si="164"/>
        <v/>
      </c>
      <c r="T167" s="15" t="str">
        <f t="shared" si="164"/>
        <v/>
      </c>
      <c r="U167" s="15" t="str">
        <f t="shared" si="164"/>
        <v/>
      </c>
      <c r="V167" s="15" t="str">
        <f t="shared" si="164"/>
        <v/>
      </c>
      <c r="W167" s="15" t="str">
        <f t="shared" si="164"/>
        <v/>
      </c>
      <c r="X167" s="15" t="str">
        <f t="shared" si="164"/>
        <v/>
      </c>
      <c r="Y167" s="15" t="str">
        <f t="shared" si="164"/>
        <v/>
      </c>
      <c r="Z167" s="15" t="str">
        <f t="shared" si="164"/>
        <v/>
      </c>
      <c r="AA167" s="15" t="str">
        <f t="shared" si="164"/>
        <v/>
      </c>
      <c r="AB167" s="15" t="str">
        <f t="shared" si="164"/>
        <v/>
      </c>
      <c r="AC167" s="15" t="str">
        <f t="shared" si="164"/>
        <v/>
      </c>
      <c r="AD167" s="15" t="str">
        <f t="shared" si="164"/>
        <v/>
      </c>
      <c r="AE167" s="15" t="str">
        <f t="shared" si="164"/>
        <v/>
      </c>
      <c r="AF167" s="15" t="str">
        <f t="shared" si="164"/>
        <v/>
      </c>
      <c r="AG167" s="15" t="str">
        <f t="shared" si="164"/>
        <v/>
      </c>
      <c r="AH167" s="15" t="str">
        <f t="shared" si="164"/>
        <v/>
      </c>
      <c r="AI167" s="15" t="str">
        <f t="shared" si="164"/>
        <v/>
      </c>
      <c r="AJ167" s="15" t="str">
        <f t="shared" si="164"/>
        <v/>
      </c>
      <c r="AK167" s="15" t="str">
        <f t="shared" si="164"/>
        <v/>
      </c>
      <c r="AL167" s="15" t="str">
        <f t="shared" si="164"/>
        <v/>
      </c>
      <c r="AM167" s="15" t="str">
        <f t="shared" si="164"/>
        <v/>
      </c>
      <c r="AN167" s="15" t="str">
        <f t="shared" si="164"/>
        <v/>
      </c>
      <c r="AO167" s="15" t="str">
        <f t="shared" si="164"/>
        <v/>
      </c>
      <c r="AP167" s="15" t="str">
        <f t="shared" si="164"/>
        <v/>
      </c>
      <c r="AQ167" s="15" t="str">
        <f t="shared" si="164"/>
        <v/>
      </c>
      <c r="AR167" s="15" t="str">
        <f t="shared" si="164"/>
        <v/>
      </c>
      <c r="AS167" s="15" t="str">
        <f t="shared" si="164"/>
        <v/>
      </c>
      <c r="AT167" s="15" t="str">
        <f t="shared" si="164"/>
        <v/>
      </c>
      <c r="AU167" s="15" t="str">
        <f t="shared" si="164"/>
        <v/>
      </c>
      <c r="AV167" s="15" t="str">
        <f t="shared" si="164"/>
        <v/>
      </c>
      <c r="AW167" s="15" t="str">
        <f t="shared" si="164"/>
        <v/>
      </c>
      <c r="AX167" s="15" t="str">
        <f t="shared" si="164"/>
        <v/>
      </c>
      <c r="AY167" s="15" t="str">
        <f t="shared" si="164"/>
        <v/>
      </c>
    </row>
    <row r="168" ht="18.0" customHeight="1">
      <c r="A168" s="13" t="str">
        <f t="shared" si="1"/>
        <v/>
      </c>
      <c r="B168" s="13" t="str">
        <f t="shared" si="2"/>
        <v/>
      </c>
      <c r="C168" s="12" t="str">
        <f t="shared" si="3"/>
        <v/>
      </c>
      <c r="D168" s="12" t="str">
        <f t="shared" si="4"/>
        <v/>
      </c>
      <c r="E168" s="12" t="str">
        <f t="shared" si="5"/>
        <v/>
      </c>
      <c r="F168" s="12" t="str">
        <f t="shared" si="6"/>
        <v/>
      </c>
      <c r="G168" s="12" t="str">
        <f t="shared" si="7"/>
        <v/>
      </c>
      <c r="H168" s="12" t="str">
        <f t="shared" si="8"/>
        <v/>
      </c>
      <c r="I168" s="12" t="str">
        <f t="shared" si="9"/>
        <v/>
      </c>
      <c r="J168" s="12" t="str">
        <f t="shared" si="10"/>
        <v/>
      </c>
      <c r="L168" s="15" t="str">
        <f t="shared" ref="L168:AY168" si="165">IF(L$13="","",IF(AND(L$13&gt;$H167,L$13&lt;=$I167),IF(AND(MOD($B$6,2)=1,L$13=ROUNDUP($J167,0)),"0",IF(L$13=INT($H167)+1,ROUNDDOWN(ABS(L$13-$J167),0),IF(L$13=INT($I167),ROUNDUP(ABS(L$13-$J167),0),""))),""))</f>
        <v/>
      </c>
      <c r="M168" s="15" t="str">
        <f t="shared" si="165"/>
        <v/>
      </c>
      <c r="N168" s="15" t="str">
        <f t="shared" si="165"/>
        <v/>
      </c>
      <c r="O168" s="15" t="str">
        <f t="shared" si="165"/>
        <v/>
      </c>
      <c r="P168" s="15" t="str">
        <f t="shared" si="165"/>
        <v/>
      </c>
      <c r="Q168" s="15" t="str">
        <f t="shared" si="165"/>
        <v/>
      </c>
      <c r="R168" s="15" t="str">
        <f t="shared" si="165"/>
        <v/>
      </c>
      <c r="S168" s="15" t="str">
        <f t="shared" si="165"/>
        <v/>
      </c>
      <c r="T168" s="15" t="str">
        <f t="shared" si="165"/>
        <v/>
      </c>
      <c r="U168" s="15" t="str">
        <f t="shared" si="165"/>
        <v/>
      </c>
      <c r="V168" s="15" t="str">
        <f t="shared" si="165"/>
        <v/>
      </c>
      <c r="W168" s="15" t="str">
        <f t="shared" si="165"/>
        <v/>
      </c>
      <c r="X168" s="15" t="str">
        <f t="shared" si="165"/>
        <v/>
      </c>
      <c r="Y168" s="15" t="str">
        <f t="shared" si="165"/>
        <v/>
      </c>
      <c r="Z168" s="15" t="str">
        <f t="shared" si="165"/>
        <v/>
      </c>
      <c r="AA168" s="15" t="str">
        <f t="shared" si="165"/>
        <v/>
      </c>
      <c r="AB168" s="15" t="str">
        <f t="shared" si="165"/>
        <v/>
      </c>
      <c r="AC168" s="15" t="str">
        <f t="shared" si="165"/>
        <v/>
      </c>
      <c r="AD168" s="15" t="str">
        <f t="shared" si="165"/>
        <v/>
      </c>
      <c r="AE168" s="15" t="str">
        <f t="shared" si="165"/>
        <v/>
      </c>
      <c r="AF168" s="15" t="str">
        <f t="shared" si="165"/>
        <v/>
      </c>
      <c r="AG168" s="15" t="str">
        <f t="shared" si="165"/>
        <v/>
      </c>
      <c r="AH168" s="15" t="str">
        <f t="shared" si="165"/>
        <v/>
      </c>
      <c r="AI168" s="15" t="str">
        <f t="shared" si="165"/>
        <v/>
      </c>
      <c r="AJ168" s="15" t="str">
        <f t="shared" si="165"/>
        <v/>
      </c>
      <c r="AK168" s="15" t="str">
        <f t="shared" si="165"/>
        <v/>
      </c>
      <c r="AL168" s="15" t="str">
        <f t="shared" si="165"/>
        <v/>
      </c>
      <c r="AM168" s="15" t="str">
        <f t="shared" si="165"/>
        <v/>
      </c>
      <c r="AN168" s="15" t="str">
        <f t="shared" si="165"/>
        <v/>
      </c>
      <c r="AO168" s="15" t="str">
        <f t="shared" si="165"/>
        <v/>
      </c>
      <c r="AP168" s="15" t="str">
        <f t="shared" si="165"/>
        <v/>
      </c>
      <c r="AQ168" s="15" t="str">
        <f t="shared" si="165"/>
        <v/>
      </c>
      <c r="AR168" s="15" t="str">
        <f t="shared" si="165"/>
        <v/>
      </c>
      <c r="AS168" s="15" t="str">
        <f t="shared" si="165"/>
        <v/>
      </c>
      <c r="AT168" s="15" t="str">
        <f t="shared" si="165"/>
        <v/>
      </c>
      <c r="AU168" s="15" t="str">
        <f t="shared" si="165"/>
        <v/>
      </c>
      <c r="AV168" s="15" t="str">
        <f t="shared" si="165"/>
        <v/>
      </c>
      <c r="AW168" s="15" t="str">
        <f t="shared" si="165"/>
        <v/>
      </c>
      <c r="AX168" s="15" t="str">
        <f t="shared" si="165"/>
        <v/>
      </c>
      <c r="AY168" s="15" t="str">
        <f t="shared" si="165"/>
        <v/>
      </c>
    </row>
    <row r="169" ht="18.0" customHeight="1">
      <c r="A169" s="13" t="str">
        <f t="shared" si="1"/>
        <v/>
      </c>
      <c r="B169" s="13" t="str">
        <f t="shared" si="2"/>
        <v/>
      </c>
      <c r="C169" s="12" t="str">
        <f t="shared" si="3"/>
        <v/>
      </c>
      <c r="D169" s="12" t="str">
        <f t="shared" si="4"/>
        <v/>
      </c>
      <c r="E169" s="12" t="str">
        <f t="shared" si="5"/>
        <v/>
      </c>
      <c r="F169" s="12" t="str">
        <f t="shared" si="6"/>
        <v/>
      </c>
      <c r="G169" s="12" t="str">
        <f t="shared" si="7"/>
        <v/>
      </c>
      <c r="H169" s="12" t="str">
        <f t="shared" si="8"/>
        <v/>
      </c>
      <c r="I169" s="12" t="str">
        <f t="shared" si="9"/>
        <v/>
      </c>
      <c r="J169" s="12" t="str">
        <f t="shared" si="10"/>
        <v/>
      </c>
      <c r="L169" s="15" t="str">
        <f t="shared" ref="L169:AY169" si="166">IF(L$13="","",IF(AND(L$13&gt;$H168,L$13&lt;=$I168),IF(AND(MOD($B$6,2)=1,L$13=ROUNDUP($J168,0)),"0",IF(L$13=INT($H168)+1,ROUNDDOWN(ABS(L$13-$J168),0),IF(L$13=INT($I168),ROUNDUP(ABS(L$13-$J168),0),""))),""))</f>
        <v/>
      </c>
      <c r="M169" s="15" t="str">
        <f t="shared" si="166"/>
        <v/>
      </c>
      <c r="N169" s="15" t="str">
        <f t="shared" si="166"/>
        <v/>
      </c>
      <c r="O169" s="15" t="str">
        <f t="shared" si="166"/>
        <v/>
      </c>
      <c r="P169" s="15" t="str">
        <f t="shared" si="166"/>
        <v/>
      </c>
      <c r="Q169" s="15" t="str">
        <f t="shared" si="166"/>
        <v/>
      </c>
      <c r="R169" s="15" t="str">
        <f t="shared" si="166"/>
        <v/>
      </c>
      <c r="S169" s="15" t="str">
        <f t="shared" si="166"/>
        <v/>
      </c>
      <c r="T169" s="15" t="str">
        <f t="shared" si="166"/>
        <v/>
      </c>
      <c r="U169" s="15" t="str">
        <f t="shared" si="166"/>
        <v/>
      </c>
      <c r="V169" s="15" t="str">
        <f t="shared" si="166"/>
        <v/>
      </c>
      <c r="W169" s="15" t="str">
        <f t="shared" si="166"/>
        <v/>
      </c>
      <c r="X169" s="15" t="str">
        <f t="shared" si="166"/>
        <v/>
      </c>
      <c r="Y169" s="15" t="str">
        <f t="shared" si="166"/>
        <v/>
      </c>
      <c r="Z169" s="15" t="str">
        <f t="shared" si="166"/>
        <v/>
      </c>
      <c r="AA169" s="15" t="str">
        <f t="shared" si="166"/>
        <v/>
      </c>
      <c r="AB169" s="15" t="str">
        <f t="shared" si="166"/>
        <v/>
      </c>
      <c r="AC169" s="15" t="str">
        <f t="shared" si="166"/>
        <v/>
      </c>
      <c r="AD169" s="15" t="str">
        <f t="shared" si="166"/>
        <v/>
      </c>
      <c r="AE169" s="15" t="str">
        <f t="shared" si="166"/>
        <v/>
      </c>
      <c r="AF169" s="15" t="str">
        <f t="shared" si="166"/>
        <v/>
      </c>
      <c r="AG169" s="15" t="str">
        <f t="shared" si="166"/>
        <v/>
      </c>
      <c r="AH169" s="15" t="str">
        <f t="shared" si="166"/>
        <v/>
      </c>
      <c r="AI169" s="15" t="str">
        <f t="shared" si="166"/>
        <v/>
      </c>
      <c r="AJ169" s="15" t="str">
        <f t="shared" si="166"/>
        <v/>
      </c>
      <c r="AK169" s="15" t="str">
        <f t="shared" si="166"/>
        <v/>
      </c>
      <c r="AL169" s="15" t="str">
        <f t="shared" si="166"/>
        <v/>
      </c>
      <c r="AM169" s="15" t="str">
        <f t="shared" si="166"/>
        <v/>
      </c>
      <c r="AN169" s="15" t="str">
        <f t="shared" si="166"/>
        <v/>
      </c>
      <c r="AO169" s="15" t="str">
        <f t="shared" si="166"/>
        <v/>
      </c>
      <c r="AP169" s="15" t="str">
        <f t="shared" si="166"/>
        <v/>
      </c>
      <c r="AQ169" s="15" t="str">
        <f t="shared" si="166"/>
        <v/>
      </c>
      <c r="AR169" s="15" t="str">
        <f t="shared" si="166"/>
        <v/>
      </c>
      <c r="AS169" s="15" t="str">
        <f t="shared" si="166"/>
        <v/>
      </c>
      <c r="AT169" s="15" t="str">
        <f t="shared" si="166"/>
        <v/>
      </c>
      <c r="AU169" s="15" t="str">
        <f t="shared" si="166"/>
        <v/>
      </c>
      <c r="AV169" s="15" t="str">
        <f t="shared" si="166"/>
        <v/>
      </c>
      <c r="AW169" s="15" t="str">
        <f t="shared" si="166"/>
        <v/>
      </c>
      <c r="AX169" s="15" t="str">
        <f t="shared" si="166"/>
        <v/>
      </c>
      <c r="AY169" s="15" t="str">
        <f t="shared" si="166"/>
        <v/>
      </c>
    </row>
    <row r="170" ht="18.0" customHeight="1">
      <c r="A170" s="13" t="str">
        <f t="shared" si="1"/>
        <v/>
      </c>
      <c r="B170" s="13" t="str">
        <f t="shared" si="2"/>
        <v/>
      </c>
      <c r="C170" s="12" t="str">
        <f t="shared" si="3"/>
        <v/>
      </c>
      <c r="D170" s="12" t="str">
        <f t="shared" si="4"/>
        <v/>
      </c>
      <c r="E170" s="12" t="str">
        <f t="shared" si="5"/>
        <v/>
      </c>
      <c r="F170" s="12" t="str">
        <f t="shared" si="6"/>
        <v/>
      </c>
      <c r="G170" s="12" t="str">
        <f t="shared" si="7"/>
        <v/>
      </c>
      <c r="H170" s="12" t="str">
        <f t="shared" si="8"/>
        <v/>
      </c>
      <c r="I170" s="12" t="str">
        <f t="shared" si="9"/>
        <v/>
      </c>
      <c r="J170" s="12" t="str">
        <f t="shared" si="10"/>
        <v/>
      </c>
      <c r="L170" s="15" t="str">
        <f t="shared" ref="L170:AY170" si="167">IF(L$13="","",IF(AND(L$13&gt;$H169,L$13&lt;=$I169),IF(AND(MOD($B$6,2)=1,L$13=ROUNDUP($J169,0)),"0",IF(L$13=INT($H169)+1,ROUNDDOWN(ABS(L$13-$J169),0),IF(L$13=INT($I169),ROUNDUP(ABS(L$13-$J169),0),""))),""))</f>
        <v/>
      </c>
      <c r="M170" s="15" t="str">
        <f t="shared" si="167"/>
        <v/>
      </c>
      <c r="N170" s="15" t="str">
        <f t="shared" si="167"/>
        <v/>
      </c>
      <c r="O170" s="15" t="str">
        <f t="shared" si="167"/>
        <v/>
      </c>
      <c r="P170" s="15" t="str">
        <f t="shared" si="167"/>
        <v/>
      </c>
      <c r="Q170" s="15" t="str">
        <f t="shared" si="167"/>
        <v/>
      </c>
      <c r="R170" s="15" t="str">
        <f t="shared" si="167"/>
        <v/>
      </c>
      <c r="S170" s="15" t="str">
        <f t="shared" si="167"/>
        <v/>
      </c>
      <c r="T170" s="15" t="str">
        <f t="shared" si="167"/>
        <v/>
      </c>
      <c r="U170" s="15" t="str">
        <f t="shared" si="167"/>
        <v/>
      </c>
      <c r="V170" s="15" t="str">
        <f t="shared" si="167"/>
        <v/>
      </c>
      <c r="W170" s="15" t="str">
        <f t="shared" si="167"/>
        <v/>
      </c>
      <c r="X170" s="15" t="str">
        <f t="shared" si="167"/>
        <v/>
      </c>
      <c r="Y170" s="15" t="str">
        <f t="shared" si="167"/>
        <v/>
      </c>
      <c r="Z170" s="15" t="str">
        <f t="shared" si="167"/>
        <v/>
      </c>
      <c r="AA170" s="15" t="str">
        <f t="shared" si="167"/>
        <v/>
      </c>
      <c r="AB170" s="15" t="str">
        <f t="shared" si="167"/>
        <v/>
      </c>
      <c r="AC170" s="15" t="str">
        <f t="shared" si="167"/>
        <v/>
      </c>
      <c r="AD170" s="15" t="str">
        <f t="shared" si="167"/>
        <v/>
      </c>
      <c r="AE170" s="15" t="str">
        <f t="shared" si="167"/>
        <v/>
      </c>
      <c r="AF170" s="15" t="str">
        <f t="shared" si="167"/>
        <v/>
      </c>
      <c r="AG170" s="15" t="str">
        <f t="shared" si="167"/>
        <v/>
      </c>
      <c r="AH170" s="15" t="str">
        <f t="shared" si="167"/>
        <v/>
      </c>
      <c r="AI170" s="15" t="str">
        <f t="shared" si="167"/>
        <v/>
      </c>
      <c r="AJ170" s="15" t="str">
        <f t="shared" si="167"/>
        <v/>
      </c>
      <c r="AK170" s="15" t="str">
        <f t="shared" si="167"/>
        <v/>
      </c>
      <c r="AL170" s="15" t="str">
        <f t="shared" si="167"/>
        <v/>
      </c>
      <c r="AM170" s="15" t="str">
        <f t="shared" si="167"/>
        <v/>
      </c>
      <c r="AN170" s="15" t="str">
        <f t="shared" si="167"/>
        <v/>
      </c>
      <c r="AO170" s="15" t="str">
        <f t="shared" si="167"/>
        <v/>
      </c>
      <c r="AP170" s="15" t="str">
        <f t="shared" si="167"/>
        <v/>
      </c>
      <c r="AQ170" s="15" t="str">
        <f t="shared" si="167"/>
        <v/>
      </c>
      <c r="AR170" s="15" t="str">
        <f t="shared" si="167"/>
        <v/>
      </c>
      <c r="AS170" s="15" t="str">
        <f t="shared" si="167"/>
        <v/>
      </c>
      <c r="AT170" s="15" t="str">
        <f t="shared" si="167"/>
        <v/>
      </c>
      <c r="AU170" s="15" t="str">
        <f t="shared" si="167"/>
        <v/>
      </c>
      <c r="AV170" s="15" t="str">
        <f t="shared" si="167"/>
        <v/>
      </c>
      <c r="AW170" s="15" t="str">
        <f t="shared" si="167"/>
        <v/>
      </c>
      <c r="AX170" s="15" t="str">
        <f t="shared" si="167"/>
        <v/>
      </c>
      <c r="AY170" s="15" t="str">
        <f t="shared" si="167"/>
        <v/>
      </c>
    </row>
    <row r="171" ht="18.0" customHeight="1">
      <c r="A171" s="13" t="str">
        <f t="shared" si="1"/>
        <v/>
      </c>
      <c r="B171" s="13" t="str">
        <f t="shared" si="2"/>
        <v/>
      </c>
      <c r="C171" s="12" t="str">
        <f t="shared" si="3"/>
        <v/>
      </c>
      <c r="D171" s="12" t="str">
        <f t="shared" si="4"/>
        <v/>
      </c>
      <c r="E171" s="12" t="str">
        <f t="shared" si="5"/>
        <v/>
      </c>
      <c r="F171" s="12" t="str">
        <f t="shared" si="6"/>
        <v/>
      </c>
      <c r="G171" s="12" t="str">
        <f t="shared" si="7"/>
        <v/>
      </c>
      <c r="H171" s="12" t="str">
        <f t="shared" si="8"/>
        <v/>
      </c>
      <c r="I171" s="12" t="str">
        <f t="shared" si="9"/>
        <v/>
      </c>
      <c r="J171" s="12" t="str">
        <f t="shared" si="10"/>
        <v/>
      </c>
      <c r="L171" s="15" t="str">
        <f t="shared" ref="L171:AY171" si="168">IF(L$13="","",IF(AND(L$13&gt;$H170,L$13&lt;=$I170),IF(AND(MOD($B$6,2)=1,L$13=ROUNDUP($J170,0)),"0",IF(L$13=INT($H170)+1,ROUNDDOWN(ABS(L$13-$J170),0),IF(L$13=INT($I170),ROUNDUP(ABS(L$13-$J170),0),""))),""))</f>
        <v/>
      </c>
      <c r="M171" s="15" t="str">
        <f t="shared" si="168"/>
        <v/>
      </c>
      <c r="N171" s="15" t="str">
        <f t="shared" si="168"/>
        <v/>
      </c>
      <c r="O171" s="15" t="str">
        <f t="shared" si="168"/>
        <v/>
      </c>
      <c r="P171" s="15" t="str">
        <f t="shared" si="168"/>
        <v/>
      </c>
      <c r="Q171" s="15" t="str">
        <f t="shared" si="168"/>
        <v/>
      </c>
      <c r="R171" s="15" t="str">
        <f t="shared" si="168"/>
        <v/>
      </c>
      <c r="S171" s="15" t="str">
        <f t="shared" si="168"/>
        <v/>
      </c>
      <c r="T171" s="15" t="str">
        <f t="shared" si="168"/>
        <v/>
      </c>
      <c r="U171" s="15" t="str">
        <f t="shared" si="168"/>
        <v/>
      </c>
      <c r="V171" s="15" t="str">
        <f t="shared" si="168"/>
        <v/>
      </c>
      <c r="W171" s="15" t="str">
        <f t="shared" si="168"/>
        <v/>
      </c>
      <c r="X171" s="15" t="str">
        <f t="shared" si="168"/>
        <v/>
      </c>
      <c r="Y171" s="15" t="str">
        <f t="shared" si="168"/>
        <v/>
      </c>
      <c r="Z171" s="15" t="str">
        <f t="shared" si="168"/>
        <v/>
      </c>
      <c r="AA171" s="15" t="str">
        <f t="shared" si="168"/>
        <v/>
      </c>
      <c r="AB171" s="15" t="str">
        <f t="shared" si="168"/>
        <v/>
      </c>
      <c r="AC171" s="15" t="str">
        <f t="shared" si="168"/>
        <v/>
      </c>
      <c r="AD171" s="15" t="str">
        <f t="shared" si="168"/>
        <v/>
      </c>
      <c r="AE171" s="15" t="str">
        <f t="shared" si="168"/>
        <v/>
      </c>
      <c r="AF171" s="15" t="str">
        <f t="shared" si="168"/>
        <v/>
      </c>
      <c r="AG171" s="15" t="str">
        <f t="shared" si="168"/>
        <v/>
      </c>
      <c r="AH171" s="15" t="str">
        <f t="shared" si="168"/>
        <v/>
      </c>
      <c r="AI171" s="15" t="str">
        <f t="shared" si="168"/>
        <v/>
      </c>
      <c r="AJ171" s="15" t="str">
        <f t="shared" si="168"/>
        <v/>
      </c>
      <c r="AK171" s="15" t="str">
        <f t="shared" si="168"/>
        <v/>
      </c>
      <c r="AL171" s="15" t="str">
        <f t="shared" si="168"/>
        <v/>
      </c>
      <c r="AM171" s="15" t="str">
        <f t="shared" si="168"/>
        <v/>
      </c>
      <c r="AN171" s="15" t="str">
        <f t="shared" si="168"/>
        <v/>
      </c>
      <c r="AO171" s="15" t="str">
        <f t="shared" si="168"/>
        <v/>
      </c>
      <c r="AP171" s="15" t="str">
        <f t="shared" si="168"/>
        <v/>
      </c>
      <c r="AQ171" s="15" t="str">
        <f t="shared" si="168"/>
        <v/>
      </c>
      <c r="AR171" s="15" t="str">
        <f t="shared" si="168"/>
        <v/>
      </c>
      <c r="AS171" s="15" t="str">
        <f t="shared" si="168"/>
        <v/>
      </c>
      <c r="AT171" s="15" t="str">
        <f t="shared" si="168"/>
        <v/>
      </c>
      <c r="AU171" s="15" t="str">
        <f t="shared" si="168"/>
        <v/>
      </c>
      <c r="AV171" s="15" t="str">
        <f t="shared" si="168"/>
        <v/>
      </c>
      <c r="AW171" s="15" t="str">
        <f t="shared" si="168"/>
        <v/>
      </c>
      <c r="AX171" s="15" t="str">
        <f t="shared" si="168"/>
        <v/>
      </c>
      <c r="AY171" s="15" t="str">
        <f t="shared" si="168"/>
        <v/>
      </c>
    </row>
    <row r="172" ht="18.0" customHeight="1">
      <c r="A172" s="13" t="str">
        <f t="shared" si="1"/>
        <v/>
      </c>
      <c r="B172" s="13" t="str">
        <f t="shared" si="2"/>
        <v/>
      </c>
      <c r="C172" s="12" t="str">
        <f t="shared" si="3"/>
        <v/>
      </c>
      <c r="D172" s="12" t="str">
        <f t="shared" si="4"/>
        <v/>
      </c>
      <c r="E172" s="12" t="str">
        <f t="shared" si="5"/>
        <v/>
      </c>
      <c r="F172" s="12" t="str">
        <f t="shared" si="6"/>
        <v/>
      </c>
      <c r="G172" s="12" t="str">
        <f t="shared" si="7"/>
        <v/>
      </c>
      <c r="H172" s="12" t="str">
        <f t="shared" si="8"/>
        <v/>
      </c>
      <c r="I172" s="12" t="str">
        <f t="shared" si="9"/>
        <v/>
      </c>
      <c r="J172" s="12" t="str">
        <f t="shared" si="10"/>
        <v/>
      </c>
      <c r="L172" s="15" t="str">
        <f t="shared" ref="L172:AY172" si="169">IF(L$13="","",IF(AND(L$13&gt;$H171,L$13&lt;=$I171),IF(AND(MOD($B$6,2)=1,L$13=ROUNDUP($J171,0)),"0",IF(L$13=INT($H171)+1,ROUNDDOWN(ABS(L$13-$J171),0),IF(L$13=INT($I171),ROUNDUP(ABS(L$13-$J171),0),""))),""))</f>
        <v/>
      </c>
      <c r="M172" s="15" t="str">
        <f t="shared" si="169"/>
        <v/>
      </c>
      <c r="N172" s="15" t="str">
        <f t="shared" si="169"/>
        <v/>
      </c>
      <c r="O172" s="15" t="str">
        <f t="shared" si="169"/>
        <v/>
      </c>
      <c r="P172" s="15" t="str">
        <f t="shared" si="169"/>
        <v/>
      </c>
      <c r="Q172" s="15" t="str">
        <f t="shared" si="169"/>
        <v/>
      </c>
      <c r="R172" s="15" t="str">
        <f t="shared" si="169"/>
        <v/>
      </c>
      <c r="S172" s="15" t="str">
        <f t="shared" si="169"/>
        <v/>
      </c>
      <c r="T172" s="15" t="str">
        <f t="shared" si="169"/>
        <v/>
      </c>
      <c r="U172" s="15" t="str">
        <f t="shared" si="169"/>
        <v/>
      </c>
      <c r="V172" s="15" t="str">
        <f t="shared" si="169"/>
        <v/>
      </c>
      <c r="W172" s="15" t="str">
        <f t="shared" si="169"/>
        <v/>
      </c>
      <c r="X172" s="15" t="str">
        <f t="shared" si="169"/>
        <v/>
      </c>
      <c r="Y172" s="15" t="str">
        <f t="shared" si="169"/>
        <v/>
      </c>
      <c r="Z172" s="15" t="str">
        <f t="shared" si="169"/>
        <v/>
      </c>
      <c r="AA172" s="15" t="str">
        <f t="shared" si="169"/>
        <v/>
      </c>
      <c r="AB172" s="15" t="str">
        <f t="shared" si="169"/>
        <v/>
      </c>
      <c r="AC172" s="15" t="str">
        <f t="shared" si="169"/>
        <v/>
      </c>
      <c r="AD172" s="15" t="str">
        <f t="shared" si="169"/>
        <v/>
      </c>
      <c r="AE172" s="15" t="str">
        <f t="shared" si="169"/>
        <v/>
      </c>
      <c r="AF172" s="15" t="str">
        <f t="shared" si="169"/>
        <v/>
      </c>
      <c r="AG172" s="15" t="str">
        <f t="shared" si="169"/>
        <v/>
      </c>
      <c r="AH172" s="15" t="str">
        <f t="shared" si="169"/>
        <v/>
      </c>
      <c r="AI172" s="15" t="str">
        <f t="shared" si="169"/>
        <v/>
      </c>
      <c r="AJ172" s="15" t="str">
        <f t="shared" si="169"/>
        <v/>
      </c>
      <c r="AK172" s="15" t="str">
        <f t="shared" si="169"/>
        <v/>
      </c>
      <c r="AL172" s="15" t="str">
        <f t="shared" si="169"/>
        <v/>
      </c>
      <c r="AM172" s="15" t="str">
        <f t="shared" si="169"/>
        <v/>
      </c>
      <c r="AN172" s="15" t="str">
        <f t="shared" si="169"/>
        <v/>
      </c>
      <c r="AO172" s="15" t="str">
        <f t="shared" si="169"/>
        <v/>
      </c>
      <c r="AP172" s="15" t="str">
        <f t="shared" si="169"/>
        <v/>
      </c>
      <c r="AQ172" s="15" t="str">
        <f t="shared" si="169"/>
        <v/>
      </c>
      <c r="AR172" s="15" t="str">
        <f t="shared" si="169"/>
        <v/>
      </c>
      <c r="AS172" s="15" t="str">
        <f t="shared" si="169"/>
        <v/>
      </c>
      <c r="AT172" s="15" t="str">
        <f t="shared" si="169"/>
        <v/>
      </c>
      <c r="AU172" s="15" t="str">
        <f t="shared" si="169"/>
        <v/>
      </c>
      <c r="AV172" s="15" t="str">
        <f t="shared" si="169"/>
        <v/>
      </c>
      <c r="AW172" s="15" t="str">
        <f t="shared" si="169"/>
        <v/>
      </c>
      <c r="AX172" s="15" t="str">
        <f t="shared" si="169"/>
        <v/>
      </c>
      <c r="AY172" s="15" t="str">
        <f t="shared" si="169"/>
        <v/>
      </c>
    </row>
    <row r="173" ht="18.0" customHeight="1">
      <c r="A173" s="13" t="str">
        <f t="shared" si="1"/>
        <v/>
      </c>
      <c r="B173" s="13" t="str">
        <f t="shared" si="2"/>
        <v/>
      </c>
      <c r="C173" s="12" t="str">
        <f t="shared" si="3"/>
        <v/>
      </c>
      <c r="D173" s="12" t="str">
        <f t="shared" si="4"/>
        <v/>
      </c>
      <c r="E173" s="12" t="str">
        <f t="shared" si="5"/>
        <v/>
      </c>
      <c r="F173" s="12" t="str">
        <f t="shared" si="6"/>
        <v/>
      </c>
      <c r="G173" s="12" t="str">
        <f t="shared" si="7"/>
        <v/>
      </c>
      <c r="H173" s="12" t="str">
        <f t="shared" si="8"/>
        <v/>
      </c>
      <c r="I173" s="12" t="str">
        <f t="shared" si="9"/>
        <v/>
      </c>
      <c r="J173" s="12" t="str">
        <f t="shared" si="10"/>
        <v/>
      </c>
      <c r="L173" s="15" t="str">
        <f t="shared" ref="L173:AY173" si="170">IF(L$13="","",IF(AND(L$13&gt;$H172,L$13&lt;=$I172),IF(AND(MOD($B$6,2)=1,L$13=ROUNDUP($J172,0)),"0",IF(L$13=INT($H172)+1,ROUNDDOWN(ABS(L$13-$J172),0),IF(L$13=INT($I172),ROUNDUP(ABS(L$13-$J172),0),""))),""))</f>
        <v/>
      </c>
      <c r="M173" s="15" t="str">
        <f t="shared" si="170"/>
        <v/>
      </c>
      <c r="N173" s="15" t="str">
        <f t="shared" si="170"/>
        <v/>
      </c>
      <c r="O173" s="15" t="str">
        <f t="shared" si="170"/>
        <v/>
      </c>
      <c r="P173" s="15" t="str">
        <f t="shared" si="170"/>
        <v/>
      </c>
      <c r="Q173" s="15" t="str">
        <f t="shared" si="170"/>
        <v/>
      </c>
      <c r="R173" s="15" t="str">
        <f t="shared" si="170"/>
        <v/>
      </c>
      <c r="S173" s="15" t="str">
        <f t="shared" si="170"/>
        <v/>
      </c>
      <c r="T173" s="15" t="str">
        <f t="shared" si="170"/>
        <v/>
      </c>
      <c r="U173" s="15" t="str">
        <f t="shared" si="170"/>
        <v/>
      </c>
      <c r="V173" s="15" t="str">
        <f t="shared" si="170"/>
        <v/>
      </c>
      <c r="W173" s="15" t="str">
        <f t="shared" si="170"/>
        <v/>
      </c>
      <c r="X173" s="15" t="str">
        <f t="shared" si="170"/>
        <v/>
      </c>
      <c r="Y173" s="15" t="str">
        <f t="shared" si="170"/>
        <v/>
      </c>
      <c r="Z173" s="15" t="str">
        <f t="shared" si="170"/>
        <v/>
      </c>
      <c r="AA173" s="15" t="str">
        <f t="shared" si="170"/>
        <v/>
      </c>
      <c r="AB173" s="15" t="str">
        <f t="shared" si="170"/>
        <v/>
      </c>
      <c r="AC173" s="15" t="str">
        <f t="shared" si="170"/>
        <v/>
      </c>
      <c r="AD173" s="15" t="str">
        <f t="shared" si="170"/>
        <v/>
      </c>
      <c r="AE173" s="15" t="str">
        <f t="shared" si="170"/>
        <v/>
      </c>
      <c r="AF173" s="15" t="str">
        <f t="shared" si="170"/>
        <v/>
      </c>
      <c r="AG173" s="15" t="str">
        <f t="shared" si="170"/>
        <v/>
      </c>
      <c r="AH173" s="15" t="str">
        <f t="shared" si="170"/>
        <v/>
      </c>
      <c r="AI173" s="15" t="str">
        <f t="shared" si="170"/>
        <v/>
      </c>
      <c r="AJ173" s="15" t="str">
        <f t="shared" si="170"/>
        <v/>
      </c>
      <c r="AK173" s="15" t="str">
        <f t="shared" si="170"/>
        <v/>
      </c>
      <c r="AL173" s="15" t="str">
        <f t="shared" si="170"/>
        <v/>
      </c>
      <c r="AM173" s="15" t="str">
        <f t="shared" si="170"/>
        <v/>
      </c>
      <c r="AN173" s="15" t="str">
        <f t="shared" si="170"/>
        <v/>
      </c>
      <c r="AO173" s="15" t="str">
        <f t="shared" si="170"/>
        <v/>
      </c>
      <c r="AP173" s="15" t="str">
        <f t="shared" si="170"/>
        <v/>
      </c>
      <c r="AQ173" s="15" t="str">
        <f t="shared" si="170"/>
        <v/>
      </c>
      <c r="AR173" s="15" t="str">
        <f t="shared" si="170"/>
        <v/>
      </c>
      <c r="AS173" s="15" t="str">
        <f t="shared" si="170"/>
        <v/>
      </c>
      <c r="AT173" s="15" t="str">
        <f t="shared" si="170"/>
        <v/>
      </c>
      <c r="AU173" s="15" t="str">
        <f t="shared" si="170"/>
        <v/>
      </c>
      <c r="AV173" s="15" t="str">
        <f t="shared" si="170"/>
        <v/>
      </c>
      <c r="AW173" s="15" t="str">
        <f t="shared" si="170"/>
        <v/>
      </c>
      <c r="AX173" s="15" t="str">
        <f t="shared" si="170"/>
        <v/>
      </c>
      <c r="AY173" s="15" t="str">
        <f t="shared" si="170"/>
        <v/>
      </c>
    </row>
    <row r="174" ht="18.0" customHeight="1">
      <c r="A174" s="13" t="str">
        <f t="shared" si="1"/>
        <v/>
      </c>
      <c r="B174" s="13" t="str">
        <f t="shared" si="2"/>
        <v/>
      </c>
      <c r="C174" s="12" t="str">
        <f t="shared" si="3"/>
        <v/>
      </c>
      <c r="D174" s="12" t="str">
        <f t="shared" si="4"/>
        <v/>
      </c>
      <c r="E174" s="12" t="str">
        <f t="shared" si="5"/>
        <v/>
      </c>
      <c r="F174" s="12" t="str">
        <f t="shared" si="6"/>
        <v/>
      </c>
      <c r="G174" s="12" t="str">
        <f t="shared" si="7"/>
        <v/>
      </c>
      <c r="H174" s="12" t="str">
        <f t="shared" si="8"/>
        <v/>
      </c>
      <c r="I174" s="12" t="str">
        <f t="shared" si="9"/>
        <v/>
      </c>
      <c r="J174" s="12" t="str">
        <f t="shared" si="10"/>
        <v/>
      </c>
      <c r="L174" s="15" t="str">
        <f t="shared" ref="L174:AY174" si="171">IF(L$13="","",IF(AND(L$13&gt;$H173,L$13&lt;=$I173),IF(AND(MOD($B$6,2)=1,L$13=ROUNDUP($J173,0)),"0",IF(L$13=INT($H173)+1,ROUNDDOWN(ABS(L$13-$J173),0),IF(L$13=INT($I173),ROUNDUP(ABS(L$13-$J173),0),""))),""))</f>
        <v/>
      </c>
      <c r="M174" s="15" t="str">
        <f t="shared" si="171"/>
        <v/>
      </c>
      <c r="N174" s="15" t="str">
        <f t="shared" si="171"/>
        <v/>
      </c>
      <c r="O174" s="15" t="str">
        <f t="shared" si="171"/>
        <v/>
      </c>
      <c r="P174" s="15" t="str">
        <f t="shared" si="171"/>
        <v/>
      </c>
      <c r="Q174" s="15" t="str">
        <f t="shared" si="171"/>
        <v/>
      </c>
      <c r="R174" s="15" t="str">
        <f t="shared" si="171"/>
        <v/>
      </c>
      <c r="S174" s="15" t="str">
        <f t="shared" si="171"/>
        <v/>
      </c>
      <c r="T174" s="15" t="str">
        <f t="shared" si="171"/>
        <v/>
      </c>
      <c r="U174" s="15" t="str">
        <f t="shared" si="171"/>
        <v/>
      </c>
      <c r="V174" s="15" t="str">
        <f t="shared" si="171"/>
        <v/>
      </c>
      <c r="W174" s="15" t="str">
        <f t="shared" si="171"/>
        <v/>
      </c>
      <c r="X174" s="15" t="str">
        <f t="shared" si="171"/>
        <v/>
      </c>
      <c r="Y174" s="15" t="str">
        <f t="shared" si="171"/>
        <v/>
      </c>
      <c r="Z174" s="15" t="str">
        <f t="shared" si="171"/>
        <v/>
      </c>
      <c r="AA174" s="15" t="str">
        <f t="shared" si="171"/>
        <v/>
      </c>
      <c r="AB174" s="15" t="str">
        <f t="shared" si="171"/>
        <v/>
      </c>
      <c r="AC174" s="15" t="str">
        <f t="shared" si="171"/>
        <v/>
      </c>
      <c r="AD174" s="15" t="str">
        <f t="shared" si="171"/>
        <v/>
      </c>
      <c r="AE174" s="15" t="str">
        <f t="shared" si="171"/>
        <v/>
      </c>
      <c r="AF174" s="15" t="str">
        <f t="shared" si="171"/>
        <v/>
      </c>
      <c r="AG174" s="15" t="str">
        <f t="shared" si="171"/>
        <v/>
      </c>
      <c r="AH174" s="15" t="str">
        <f t="shared" si="171"/>
        <v/>
      </c>
      <c r="AI174" s="15" t="str">
        <f t="shared" si="171"/>
        <v/>
      </c>
      <c r="AJ174" s="15" t="str">
        <f t="shared" si="171"/>
        <v/>
      </c>
      <c r="AK174" s="15" t="str">
        <f t="shared" si="171"/>
        <v/>
      </c>
      <c r="AL174" s="15" t="str">
        <f t="shared" si="171"/>
        <v/>
      </c>
      <c r="AM174" s="15" t="str">
        <f t="shared" si="171"/>
        <v/>
      </c>
      <c r="AN174" s="15" t="str">
        <f t="shared" si="171"/>
        <v/>
      </c>
      <c r="AO174" s="15" t="str">
        <f t="shared" si="171"/>
        <v/>
      </c>
      <c r="AP174" s="15" t="str">
        <f t="shared" si="171"/>
        <v/>
      </c>
      <c r="AQ174" s="15" t="str">
        <f t="shared" si="171"/>
        <v/>
      </c>
      <c r="AR174" s="15" t="str">
        <f t="shared" si="171"/>
        <v/>
      </c>
      <c r="AS174" s="15" t="str">
        <f t="shared" si="171"/>
        <v/>
      </c>
      <c r="AT174" s="15" t="str">
        <f t="shared" si="171"/>
        <v/>
      </c>
      <c r="AU174" s="15" t="str">
        <f t="shared" si="171"/>
        <v/>
      </c>
      <c r="AV174" s="15" t="str">
        <f t="shared" si="171"/>
        <v/>
      </c>
      <c r="AW174" s="15" t="str">
        <f t="shared" si="171"/>
        <v/>
      </c>
      <c r="AX174" s="15" t="str">
        <f t="shared" si="171"/>
        <v/>
      </c>
      <c r="AY174" s="15" t="str">
        <f t="shared" si="171"/>
        <v/>
      </c>
    </row>
    <row r="175" ht="18.0" customHeight="1">
      <c r="A175" s="13" t="str">
        <f t="shared" si="1"/>
        <v/>
      </c>
      <c r="B175" s="13" t="str">
        <f t="shared" si="2"/>
        <v/>
      </c>
      <c r="C175" s="12" t="str">
        <f t="shared" si="3"/>
        <v/>
      </c>
      <c r="D175" s="12" t="str">
        <f t="shared" si="4"/>
        <v/>
      </c>
      <c r="E175" s="12" t="str">
        <f t="shared" si="5"/>
        <v/>
      </c>
      <c r="F175" s="12" t="str">
        <f t="shared" si="6"/>
        <v/>
      </c>
      <c r="G175" s="12" t="str">
        <f t="shared" si="7"/>
        <v/>
      </c>
      <c r="H175" s="12" t="str">
        <f t="shared" si="8"/>
        <v/>
      </c>
      <c r="I175" s="12" t="str">
        <f t="shared" si="9"/>
        <v/>
      </c>
      <c r="J175" s="12" t="str">
        <f t="shared" si="10"/>
        <v/>
      </c>
      <c r="L175" s="15" t="str">
        <f t="shared" ref="L175:AY175" si="172">IF(L$13="","",IF(AND(L$13&gt;$H174,L$13&lt;=$I174),IF(AND(MOD($B$6,2)=1,L$13=ROUNDUP($J174,0)),"0",IF(L$13=INT($H174)+1,ROUNDDOWN(ABS(L$13-$J174),0),IF(L$13=INT($I174),ROUNDUP(ABS(L$13-$J174),0),""))),""))</f>
        <v/>
      </c>
      <c r="M175" s="15" t="str">
        <f t="shared" si="172"/>
        <v/>
      </c>
      <c r="N175" s="15" t="str">
        <f t="shared" si="172"/>
        <v/>
      </c>
      <c r="O175" s="15" t="str">
        <f t="shared" si="172"/>
        <v/>
      </c>
      <c r="P175" s="15" t="str">
        <f t="shared" si="172"/>
        <v/>
      </c>
      <c r="Q175" s="15" t="str">
        <f t="shared" si="172"/>
        <v/>
      </c>
      <c r="R175" s="15" t="str">
        <f t="shared" si="172"/>
        <v/>
      </c>
      <c r="S175" s="15" t="str">
        <f t="shared" si="172"/>
        <v/>
      </c>
      <c r="T175" s="15" t="str">
        <f t="shared" si="172"/>
        <v/>
      </c>
      <c r="U175" s="15" t="str">
        <f t="shared" si="172"/>
        <v/>
      </c>
      <c r="V175" s="15" t="str">
        <f t="shared" si="172"/>
        <v/>
      </c>
      <c r="W175" s="15" t="str">
        <f t="shared" si="172"/>
        <v/>
      </c>
      <c r="X175" s="15" t="str">
        <f t="shared" si="172"/>
        <v/>
      </c>
      <c r="Y175" s="15" t="str">
        <f t="shared" si="172"/>
        <v/>
      </c>
      <c r="Z175" s="15" t="str">
        <f t="shared" si="172"/>
        <v/>
      </c>
      <c r="AA175" s="15" t="str">
        <f t="shared" si="172"/>
        <v/>
      </c>
      <c r="AB175" s="15" t="str">
        <f t="shared" si="172"/>
        <v/>
      </c>
      <c r="AC175" s="15" t="str">
        <f t="shared" si="172"/>
        <v/>
      </c>
      <c r="AD175" s="15" t="str">
        <f t="shared" si="172"/>
        <v/>
      </c>
      <c r="AE175" s="15" t="str">
        <f t="shared" si="172"/>
        <v/>
      </c>
      <c r="AF175" s="15" t="str">
        <f t="shared" si="172"/>
        <v/>
      </c>
      <c r="AG175" s="15" t="str">
        <f t="shared" si="172"/>
        <v/>
      </c>
      <c r="AH175" s="15" t="str">
        <f t="shared" si="172"/>
        <v/>
      </c>
      <c r="AI175" s="15" t="str">
        <f t="shared" si="172"/>
        <v/>
      </c>
      <c r="AJ175" s="15" t="str">
        <f t="shared" si="172"/>
        <v/>
      </c>
      <c r="AK175" s="15" t="str">
        <f t="shared" si="172"/>
        <v/>
      </c>
      <c r="AL175" s="15" t="str">
        <f t="shared" si="172"/>
        <v/>
      </c>
      <c r="AM175" s="15" t="str">
        <f t="shared" si="172"/>
        <v/>
      </c>
      <c r="AN175" s="15" t="str">
        <f t="shared" si="172"/>
        <v/>
      </c>
      <c r="AO175" s="15" t="str">
        <f t="shared" si="172"/>
        <v/>
      </c>
      <c r="AP175" s="15" t="str">
        <f t="shared" si="172"/>
        <v/>
      </c>
      <c r="AQ175" s="15" t="str">
        <f t="shared" si="172"/>
        <v/>
      </c>
      <c r="AR175" s="15" t="str">
        <f t="shared" si="172"/>
        <v/>
      </c>
      <c r="AS175" s="15" t="str">
        <f t="shared" si="172"/>
        <v/>
      </c>
      <c r="AT175" s="15" t="str">
        <f t="shared" si="172"/>
        <v/>
      </c>
      <c r="AU175" s="15" t="str">
        <f t="shared" si="172"/>
        <v/>
      </c>
      <c r="AV175" s="15" t="str">
        <f t="shared" si="172"/>
        <v/>
      </c>
      <c r="AW175" s="15" t="str">
        <f t="shared" si="172"/>
        <v/>
      </c>
      <c r="AX175" s="15" t="str">
        <f t="shared" si="172"/>
        <v/>
      </c>
      <c r="AY175" s="15" t="str">
        <f t="shared" si="172"/>
        <v/>
      </c>
    </row>
    <row r="176" ht="18.0" customHeight="1">
      <c r="A176" s="13" t="str">
        <f t="shared" si="1"/>
        <v/>
      </c>
      <c r="B176" s="13" t="str">
        <f t="shared" si="2"/>
        <v/>
      </c>
      <c r="C176" s="12" t="str">
        <f t="shared" si="3"/>
        <v/>
      </c>
      <c r="D176" s="12" t="str">
        <f t="shared" si="4"/>
        <v/>
      </c>
      <c r="E176" s="12" t="str">
        <f t="shared" si="5"/>
        <v/>
      </c>
      <c r="F176" s="12" t="str">
        <f t="shared" si="6"/>
        <v/>
      </c>
      <c r="G176" s="12" t="str">
        <f t="shared" si="7"/>
        <v/>
      </c>
      <c r="H176" s="12" t="str">
        <f t="shared" si="8"/>
        <v/>
      </c>
      <c r="I176" s="12" t="str">
        <f t="shared" si="9"/>
        <v/>
      </c>
      <c r="J176" s="12" t="str">
        <f t="shared" si="10"/>
        <v/>
      </c>
      <c r="L176" s="15" t="str">
        <f t="shared" ref="L176:AY176" si="173">IF(L$13="","",IF(AND(L$13&gt;$H175,L$13&lt;=$I175),IF(AND(MOD($B$6,2)=1,L$13=ROUNDUP($J175,0)),"0",IF(L$13=INT($H175)+1,ROUNDDOWN(ABS(L$13-$J175),0),IF(L$13=INT($I175),ROUNDUP(ABS(L$13-$J175),0),""))),""))</f>
        <v/>
      </c>
      <c r="M176" s="15" t="str">
        <f t="shared" si="173"/>
        <v/>
      </c>
      <c r="N176" s="15" t="str">
        <f t="shared" si="173"/>
        <v/>
      </c>
      <c r="O176" s="15" t="str">
        <f t="shared" si="173"/>
        <v/>
      </c>
      <c r="P176" s="15" t="str">
        <f t="shared" si="173"/>
        <v/>
      </c>
      <c r="Q176" s="15" t="str">
        <f t="shared" si="173"/>
        <v/>
      </c>
      <c r="R176" s="15" t="str">
        <f t="shared" si="173"/>
        <v/>
      </c>
      <c r="S176" s="15" t="str">
        <f t="shared" si="173"/>
        <v/>
      </c>
      <c r="T176" s="15" t="str">
        <f t="shared" si="173"/>
        <v/>
      </c>
      <c r="U176" s="15" t="str">
        <f t="shared" si="173"/>
        <v/>
      </c>
      <c r="V176" s="15" t="str">
        <f t="shared" si="173"/>
        <v/>
      </c>
      <c r="W176" s="15" t="str">
        <f t="shared" si="173"/>
        <v/>
      </c>
      <c r="X176" s="15" t="str">
        <f t="shared" si="173"/>
        <v/>
      </c>
      <c r="Y176" s="15" t="str">
        <f t="shared" si="173"/>
        <v/>
      </c>
      <c r="Z176" s="15" t="str">
        <f t="shared" si="173"/>
        <v/>
      </c>
      <c r="AA176" s="15" t="str">
        <f t="shared" si="173"/>
        <v/>
      </c>
      <c r="AB176" s="15" t="str">
        <f t="shared" si="173"/>
        <v/>
      </c>
      <c r="AC176" s="15" t="str">
        <f t="shared" si="173"/>
        <v/>
      </c>
      <c r="AD176" s="15" t="str">
        <f t="shared" si="173"/>
        <v/>
      </c>
      <c r="AE176" s="15" t="str">
        <f t="shared" si="173"/>
        <v/>
      </c>
      <c r="AF176" s="15" t="str">
        <f t="shared" si="173"/>
        <v/>
      </c>
      <c r="AG176" s="15" t="str">
        <f t="shared" si="173"/>
        <v/>
      </c>
      <c r="AH176" s="15" t="str">
        <f t="shared" si="173"/>
        <v/>
      </c>
      <c r="AI176" s="15" t="str">
        <f t="shared" si="173"/>
        <v/>
      </c>
      <c r="AJ176" s="15" t="str">
        <f t="shared" si="173"/>
        <v/>
      </c>
      <c r="AK176" s="15" t="str">
        <f t="shared" si="173"/>
        <v/>
      </c>
      <c r="AL176" s="15" t="str">
        <f t="shared" si="173"/>
        <v/>
      </c>
      <c r="AM176" s="15" t="str">
        <f t="shared" si="173"/>
        <v/>
      </c>
      <c r="AN176" s="15" t="str">
        <f t="shared" si="173"/>
        <v/>
      </c>
      <c r="AO176" s="15" t="str">
        <f t="shared" si="173"/>
        <v/>
      </c>
      <c r="AP176" s="15" t="str">
        <f t="shared" si="173"/>
        <v/>
      </c>
      <c r="AQ176" s="15" t="str">
        <f t="shared" si="173"/>
        <v/>
      </c>
      <c r="AR176" s="15" t="str">
        <f t="shared" si="173"/>
        <v/>
      </c>
      <c r="AS176" s="15" t="str">
        <f t="shared" si="173"/>
        <v/>
      </c>
      <c r="AT176" s="15" t="str">
        <f t="shared" si="173"/>
        <v/>
      </c>
      <c r="AU176" s="15" t="str">
        <f t="shared" si="173"/>
        <v/>
      </c>
      <c r="AV176" s="15" t="str">
        <f t="shared" si="173"/>
        <v/>
      </c>
      <c r="AW176" s="15" t="str">
        <f t="shared" si="173"/>
        <v/>
      </c>
      <c r="AX176" s="15" t="str">
        <f t="shared" si="173"/>
        <v/>
      </c>
      <c r="AY176" s="15" t="str">
        <f t="shared" si="173"/>
        <v/>
      </c>
    </row>
    <row r="177" ht="18.0" customHeight="1">
      <c r="A177" s="13" t="str">
        <f t="shared" si="1"/>
        <v/>
      </c>
      <c r="B177" s="13" t="str">
        <f t="shared" si="2"/>
        <v/>
      </c>
      <c r="C177" s="12" t="str">
        <f t="shared" si="3"/>
        <v/>
      </c>
      <c r="D177" s="12" t="str">
        <f t="shared" si="4"/>
        <v/>
      </c>
      <c r="E177" s="12" t="str">
        <f t="shared" si="5"/>
        <v/>
      </c>
      <c r="F177" s="12" t="str">
        <f t="shared" si="6"/>
        <v/>
      </c>
      <c r="G177" s="12" t="str">
        <f t="shared" si="7"/>
        <v/>
      </c>
      <c r="H177" s="12" t="str">
        <f t="shared" si="8"/>
        <v/>
      </c>
      <c r="I177" s="12" t="str">
        <f t="shared" si="9"/>
        <v/>
      </c>
      <c r="J177" s="12" t="str">
        <f t="shared" si="10"/>
        <v/>
      </c>
      <c r="L177" s="15" t="str">
        <f t="shared" ref="L177:AY177" si="174">IF(L$13="","",IF(AND(L$13&gt;$H176,L$13&lt;=$I176),IF(AND(MOD($B$6,2)=1,L$13=ROUNDUP($J176,0)),"0",IF(L$13=INT($H176)+1,ROUNDDOWN(ABS(L$13-$J176),0),IF(L$13=INT($I176),ROUNDUP(ABS(L$13-$J176),0),""))),""))</f>
        <v/>
      </c>
      <c r="M177" s="15" t="str">
        <f t="shared" si="174"/>
        <v/>
      </c>
      <c r="N177" s="15" t="str">
        <f t="shared" si="174"/>
        <v/>
      </c>
      <c r="O177" s="15" t="str">
        <f t="shared" si="174"/>
        <v/>
      </c>
      <c r="P177" s="15" t="str">
        <f t="shared" si="174"/>
        <v/>
      </c>
      <c r="Q177" s="15" t="str">
        <f t="shared" si="174"/>
        <v/>
      </c>
      <c r="R177" s="15" t="str">
        <f t="shared" si="174"/>
        <v/>
      </c>
      <c r="S177" s="15" t="str">
        <f t="shared" si="174"/>
        <v/>
      </c>
      <c r="T177" s="15" t="str">
        <f t="shared" si="174"/>
        <v/>
      </c>
      <c r="U177" s="15" t="str">
        <f t="shared" si="174"/>
        <v/>
      </c>
      <c r="V177" s="15" t="str">
        <f t="shared" si="174"/>
        <v/>
      </c>
      <c r="W177" s="15" t="str">
        <f t="shared" si="174"/>
        <v/>
      </c>
      <c r="X177" s="15" t="str">
        <f t="shared" si="174"/>
        <v/>
      </c>
      <c r="Y177" s="15" t="str">
        <f t="shared" si="174"/>
        <v/>
      </c>
      <c r="Z177" s="15" t="str">
        <f t="shared" si="174"/>
        <v/>
      </c>
      <c r="AA177" s="15" t="str">
        <f t="shared" si="174"/>
        <v/>
      </c>
      <c r="AB177" s="15" t="str">
        <f t="shared" si="174"/>
        <v/>
      </c>
      <c r="AC177" s="15" t="str">
        <f t="shared" si="174"/>
        <v/>
      </c>
      <c r="AD177" s="15" t="str">
        <f t="shared" si="174"/>
        <v/>
      </c>
      <c r="AE177" s="15" t="str">
        <f t="shared" si="174"/>
        <v/>
      </c>
      <c r="AF177" s="15" t="str">
        <f t="shared" si="174"/>
        <v/>
      </c>
      <c r="AG177" s="15" t="str">
        <f t="shared" si="174"/>
        <v/>
      </c>
      <c r="AH177" s="15" t="str">
        <f t="shared" si="174"/>
        <v/>
      </c>
      <c r="AI177" s="15" t="str">
        <f t="shared" si="174"/>
        <v/>
      </c>
      <c r="AJ177" s="15" t="str">
        <f t="shared" si="174"/>
        <v/>
      </c>
      <c r="AK177" s="15" t="str">
        <f t="shared" si="174"/>
        <v/>
      </c>
      <c r="AL177" s="15" t="str">
        <f t="shared" si="174"/>
        <v/>
      </c>
      <c r="AM177" s="15" t="str">
        <f t="shared" si="174"/>
        <v/>
      </c>
      <c r="AN177" s="15" t="str">
        <f t="shared" si="174"/>
        <v/>
      </c>
      <c r="AO177" s="15" t="str">
        <f t="shared" si="174"/>
        <v/>
      </c>
      <c r="AP177" s="15" t="str">
        <f t="shared" si="174"/>
        <v/>
      </c>
      <c r="AQ177" s="15" t="str">
        <f t="shared" si="174"/>
        <v/>
      </c>
      <c r="AR177" s="15" t="str">
        <f t="shared" si="174"/>
        <v/>
      </c>
      <c r="AS177" s="15" t="str">
        <f t="shared" si="174"/>
        <v/>
      </c>
      <c r="AT177" s="15" t="str">
        <f t="shared" si="174"/>
        <v/>
      </c>
      <c r="AU177" s="15" t="str">
        <f t="shared" si="174"/>
        <v/>
      </c>
      <c r="AV177" s="15" t="str">
        <f t="shared" si="174"/>
        <v/>
      </c>
      <c r="AW177" s="15" t="str">
        <f t="shared" si="174"/>
        <v/>
      </c>
      <c r="AX177" s="15" t="str">
        <f t="shared" si="174"/>
        <v/>
      </c>
      <c r="AY177" s="15" t="str">
        <f t="shared" si="174"/>
        <v/>
      </c>
    </row>
    <row r="178" ht="18.0" customHeight="1">
      <c r="A178" s="13" t="str">
        <f t="shared" si="1"/>
        <v/>
      </c>
      <c r="B178" s="13" t="str">
        <f t="shared" si="2"/>
        <v/>
      </c>
      <c r="C178" s="12" t="str">
        <f t="shared" si="3"/>
        <v/>
      </c>
      <c r="D178" s="12" t="str">
        <f t="shared" si="4"/>
        <v/>
      </c>
      <c r="E178" s="12" t="str">
        <f t="shared" si="5"/>
        <v/>
      </c>
      <c r="F178" s="12" t="str">
        <f t="shared" si="6"/>
        <v/>
      </c>
      <c r="G178" s="12" t="str">
        <f t="shared" si="7"/>
        <v/>
      </c>
      <c r="H178" s="12" t="str">
        <f t="shared" si="8"/>
        <v/>
      </c>
      <c r="I178" s="12" t="str">
        <f t="shared" si="9"/>
        <v/>
      </c>
      <c r="J178" s="12" t="str">
        <f t="shared" si="10"/>
        <v/>
      </c>
      <c r="L178" s="15" t="str">
        <f t="shared" ref="L178:AY178" si="175">IF(L$13="","",IF(AND(L$13&gt;$H177,L$13&lt;=$I177),IF(AND(MOD($B$6,2)=1,L$13=ROUNDUP($J177,0)),"0",IF(L$13=INT($H177)+1,ROUNDDOWN(ABS(L$13-$J177),0),IF(L$13=INT($I177),ROUNDUP(ABS(L$13-$J177),0),""))),""))</f>
        <v/>
      </c>
      <c r="M178" s="15" t="str">
        <f t="shared" si="175"/>
        <v/>
      </c>
      <c r="N178" s="15" t="str">
        <f t="shared" si="175"/>
        <v/>
      </c>
      <c r="O178" s="15" t="str">
        <f t="shared" si="175"/>
        <v/>
      </c>
      <c r="P178" s="15" t="str">
        <f t="shared" si="175"/>
        <v/>
      </c>
      <c r="Q178" s="15" t="str">
        <f t="shared" si="175"/>
        <v/>
      </c>
      <c r="R178" s="15" t="str">
        <f t="shared" si="175"/>
        <v/>
      </c>
      <c r="S178" s="15" t="str">
        <f t="shared" si="175"/>
        <v/>
      </c>
      <c r="T178" s="15" t="str">
        <f t="shared" si="175"/>
        <v/>
      </c>
      <c r="U178" s="15" t="str">
        <f t="shared" si="175"/>
        <v/>
      </c>
      <c r="V178" s="15" t="str">
        <f t="shared" si="175"/>
        <v/>
      </c>
      <c r="W178" s="15" t="str">
        <f t="shared" si="175"/>
        <v/>
      </c>
      <c r="X178" s="15" t="str">
        <f t="shared" si="175"/>
        <v/>
      </c>
      <c r="Y178" s="15" t="str">
        <f t="shared" si="175"/>
        <v/>
      </c>
      <c r="Z178" s="15" t="str">
        <f t="shared" si="175"/>
        <v/>
      </c>
      <c r="AA178" s="15" t="str">
        <f t="shared" si="175"/>
        <v/>
      </c>
      <c r="AB178" s="15" t="str">
        <f t="shared" si="175"/>
        <v/>
      </c>
      <c r="AC178" s="15" t="str">
        <f t="shared" si="175"/>
        <v/>
      </c>
      <c r="AD178" s="15" t="str">
        <f t="shared" si="175"/>
        <v/>
      </c>
      <c r="AE178" s="15" t="str">
        <f t="shared" si="175"/>
        <v/>
      </c>
      <c r="AF178" s="15" t="str">
        <f t="shared" si="175"/>
        <v/>
      </c>
      <c r="AG178" s="15" t="str">
        <f t="shared" si="175"/>
        <v/>
      </c>
      <c r="AH178" s="15" t="str">
        <f t="shared" si="175"/>
        <v/>
      </c>
      <c r="AI178" s="15" t="str">
        <f t="shared" si="175"/>
        <v/>
      </c>
      <c r="AJ178" s="15" t="str">
        <f t="shared" si="175"/>
        <v/>
      </c>
      <c r="AK178" s="15" t="str">
        <f t="shared" si="175"/>
        <v/>
      </c>
      <c r="AL178" s="15" t="str">
        <f t="shared" si="175"/>
        <v/>
      </c>
      <c r="AM178" s="15" t="str">
        <f t="shared" si="175"/>
        <v/>
      </c>
      <c r="AN178" s="15" t="str">
        <f t="shared" si="175"/>
        <v/>
      </c>
      <c r="AO178" s="15" t="str">
        <f t="shared" si="175"/>
        <v/>
      </c>
      <c r="AP178" s="15" t="str">
        <f t="shared" si="175"/>
        <v/>
      </c>
      <c r="AQ178" s="15" t="str">
        <f t="shared" si="175"/>
        <v/>
      </c>
      <c r="AR178" s="15" t="str">
        <f t="shared" si="175"/>
        <v/>
      </c>
      <c r="AS178" s="15" t="str">
        <f t="shared" si="175"/>
        <v/>
      </c>
      <c r="AT178" s="15" t="str">
        <f t="shared" si="175"/>
        <v/>
      </c>
      <c r="AU178" s="15" t="str">
        <f t="shared" si="175"/>
        <v/>
      </c>
      <c r="AV178" s="15" t="str">
        <f t="shared" si="175"/>
        <v/>
      </c>
      <c r="AW178" s="15" t="str">
        <f t="shared" si="175"/>
        <v/>
      </c>
      <c r="AX178" s="15" t="str">
        <f t="shared" si="175"/>
        <v/>
      </c>
      <c r="AY178" s="15" t="str">
        <f t="shared" si="175"/>
        <v/>
      </c>
    </row>
    <row r="179" ht="18.0" customHeight="1">
      <c r="A179" s="13" t="str">
        <f t="shared" si="1"/>
        <v/>
      </c>
      <c r="B179" s="13" t="str">
        <f t="shared" si="2"/>
        <v/>
      </c>
      <c r="C179" s="12" t="str">
        <f t="shared" si="3"/>
        <v/>
      </c>
      <c r="D179" s="12" t="str">
        <f t="shared" si="4"/>
        <v/>
      </c>
      <c r="E179" s="12" t="str">
        <f t="shared" si="5"/>
        <v/>
      </c>
      <c r="F179" s="12" t="str">
        <f t="shared" si="6"/>
        <v/>
      </c>
      <c r="G179" s="12" t="str">
        <f t="shared" si="7"/>
        <v/>
      </c>
      <c r="H179" s="12" t="str">
        <f t="shared" si="8"/>
        <v/>
      </c>
      <c r="I179" s="12" t="str">
        <f t="shared" si="9"/>
        <v/>
      </c>
      <c r="J179" s="12" t="str">
        <f t="shared" si="10"/>
        <v/>
      </c>
      <c r="L179" s="15" t="str">
        <f t="shared" ref="L179:AY179" si="176">IF(L$13="","",IF(AND(L$13&gt;$H178,L$13&lt;=$I178),IF(AND(MOD($B$6,2)=1,L$13=ROUNDUP($J178,0)),"0",IF(L$13=INT($H178)+1,ROUNDDOWN(ABS(L$13-$J178),0),IF(L$13=INT($I178),ROUNDUP(ABS(L$13-$J178),0),""))),""))</f>
        <v/>
      </c>
      <c r="M179" s="15" t="str">
        <f t="shared" si="176"/>
        <v/>
      </c>
      <c r="N179" s="15" t="str">
        <f t="shared" si="176"/>
        <v/>
      </c>
      <c r="O179" s="15" t="str">
        <f t="shared" si="176"/>
        <v/>
      </c>
      <c r="P179" s="15" t="str">
        <f t="shared" si="176"/>
        <v/>
      </c>
      <c r="Q179" s="15" t="str">
        <f t="shared" si="176"/>
        <v/>
      </c>
      <c r="R179" s="15" t="str">
        <f t="shared" si="176"/>
        <v/>
      </c>
      <c r="S179" s="15" t="str">
        <f t="shared" si="176"/>
        <v/>
      </c>
      <c r="T179" s="15" t="str">
        <f t="shared" si="176"/>
        <v/>
      </c>
      <c r="U179" s="15" t="str">
        <f t="shared" si="176"/>
        <v/>
      </c>
      <c r="V179" s="15" t="str">
        <f t="shared" si="176"/>
        <v/>
      </c>
      <c r="W179" s="15" t="str">
        <f t="shared" si="176"/>
        <v/>
      </c>
      <c r="X179" s="15" t="str">
        <f t="shared" si="176"/>
        <v/>
      </c>
      <c r="Y179" s="15" t="str">
        <f t="shared" si="176"/>
        <v/>
      </c>
      <c r="Z179" s="15" t="str">
        <f t="shared" si="176"/>
        <v/>
      </c>
      <c r="AA179" s="15" t="str">
        <f t="shared" si="176"/>
        <v/>
      </c>
      <c r="AB179" s="15" t="str">
        <f t="shared" si="176"/>
        <v/>
      </c>
      <c r="AC179" s="15" t="str">
        <f t="shared" si="176"/>
        <v/>
      </c>
      <c r="AD179" s="15" t="str">
        <f t="shared" si="176"/>
        <v/>
      </c>
      <c r="AE179" s="15" t="str">
        <f t="shared" si="176"/>
        <v/>
      </c>
      <c r="AF179" s="15" t="str">
        <f t="shared" si="176"/>
        <v/>
      </c>
      <c r="AG179" s="15" t="str">
        <f t="shared" si="176"/>
        <v/>
      </c>
      <c r="AH179" s="15" t="str">
        <f t="shared" si="176"/>
        <v/>
      </c>
      <c r="AI179" s="15" t="str">
        <f t="shared" si="176"/>
        <v/>
      </c>
      <c r="AJ179" s="15" t="str">
        <f t="shared" si="176"/>
        <v/>
      </c>
      <c r="AK179" s="15" t="str">
        <f t="shared" si="176"/>
        <v/>
      </c>
      <c r="AL179" s="15" t="str">
        <f t="shared" si="176"/>
        <v/>
      </c>
      <c r="AM179" s="15" t="str">
        <f t="shared" si="176"/>
        <v/>
      </c>
      <c r="AN179" s="15" t="str">
        <f t="shared" si="176"/>
        <v/>
      </c>
      <c r="AO179" s="15" t="str">
        <f t="shared" si="176"/>
        <v/>
      </c>
      <c r="AP179" s="15" t="str">
        <f t="shared" si="176"/>
        <v/>
      </c>
      <c r="AQ179" s="15" t="str">
        <f t="shared" si="176"/>
        <v/>
      </c>
      <c r="AR179" s="15" t="str">
        <f t="shared" si="176"/>
        <v/>
      </c>
      <c r="AS179" s="15" t="str">
        <f t="shared" si="176"/>
        <v/>
      </c>
      <c r="AT179" s="15" t="str">
        <f t="shared" si="176"/>
        <v/>
      </c>
      <c r="AU179" s="15" t="str">
        <f t="shared" si="176"/>
        <v/>
      </c>
      <c r="AV179" s="15" t="str">
        <f t="shared" si="176"/>
        <v/>
      </c>
      <c r="AW179" s="15" t="str">
        <f t="shared" si="176"/>
        <v/>
      </c>
      <c r="AX179" s="15" t="str">
        <f t="shared" si="176"/>
        <v/>
      </c>
      <c r="AY179" s="15" t="str">
        <f t="shared" si="176"/>
        <v/>
      </c>
    </row>
    <row r="180" ht="18.0" customHeight="1">
      <c r="A180" s="13" t="str">
        <f t="shared" si="1"/>
        <v/>
      </c>
      <c r="B180" s="13" t="str">
        <f t="shared" si="2"/>
        <v/>
      </c>
      <c r="C180" s="12" t="str">
        <f t="shared" si="3"/>
        <v/>
      </c>
      <c r="D180" s="12" t="str">
        <f t="shared" si="4"/>
        <v/>
      </c>
      <c r="E180" s="12" t="str">
        <f t="shared" si="5"/>
        <v/>
      </c>
      <c r="F180" s="12" t="str">
        <f t="shared" si="6"/>
        <v/>
      </c>
      <c r="G180" s="12" t="str">
        <f t="shared" si="7"/>
        <v/>
      </c>
      <c r="H180" s="12" t="str">
        <f t="shared" si="8"/>
        <v/>
      </c>
      <c r="I180" s="12" t="str">
        <f t="shared" si="9"/>
        <v/>
      </c>
      <c r="J180" s="12" t="str">
        <f t="shared" si="10"/>
        <v/>
      </c>
      <c r="L180" s="15" t="str">
        <f t="shared" ref="L180:AY180" si="177">IF(L$13="","",IF(AND(L$13&gt;$H179,L$13&lt;=$I179),IF(AND(MOD($B$6,2)=1,L$13=ROUNDUP($J179,0)),"0",IF(L$13=INT($H179)+1,ROUNDDOWN(ABS(L$13-$J179),0),IF(L$13=INT($I179),ROUNDUP(ABS(L$13-$J179),0),""))),""))</f>
        <v/>
      </c>
      <c r="M180" s="15" t="str">
        <f t="shared" si="177"/>
        <v/>
      </c>
      <c r="N180" s="15" t="str">
        <f t="shared" si="177"/>
        <v/>
      </c>
      <c r="O180" s="15" t="str">
        <f t="shared" si="177"/>
        <v/>
      </c>
      <c r="P180" s="15" t="str">
        <f t="shared" si="177"/>
        <v/>
      </c>
      <c r="Q180" s="15" t="str">
        <f t="shared" si="177"/>
        <v/>
      </c>
      <c r="R180" s="15" t="str">
        <f t="shared" si="177"/>
        <v/>
      </c>
      <c r="S180" s="15" t="str">
        <f t="shared" si="177"/>
        <v/>
      </c>
      <c r="T180" s="15" t="str">
        <f t="shared" si="177"/>
        <v/>
      </c>
      <c r="U180" s="15" t="str">
        <f t="shared" si="177"/>
        <v/>
      </c>
      <c r="V180" s="15" t="str">
        <f t="shared" si="177"/>
        <v/>
      </c>
      <c r="W180" s="15" t="str">
        <f t="shared" si="177"/>
        <v/>
      </c>
      <c r="X180" s="15" t="str">
        <f t="shared" si="177"/>
        <v/>
      </c>
      <c r="Y180" s="15" t="str">
        <f t="shared" si="177"/>
        <v/>
      </c>
      <c r="Z180" s="15" t="str">
        <f t="shared" si="177"/>
        <v/>
      </c>
      <c r="AA180" s="15" t="str">
        <f t="shared" si="177"/>
        <v/>
      </c>
      <c r="AB180" s="15" t="str">
        <f t="shared" si="177"/>
        <v/>
      </c>
      <c r="AC180" s="15" t="str">
        <f t="shared" si="177"/>
        <v/>
      </c>
      <c r="AD180" s="15" t="str">
        <f t="shared" si="177"/>
        <v/>
      </c>
      <c r="AE180" s="15" t="str">
        <f t="shared" si="177"/>
        <v/>
      </c>
      <c r="AF180" s="15" t="str">
        <f t="shared" si="177"/>
        <v/>
      </c>
      <c r="AG180" s="15" t="str">
        <f t="shared" si="177"/>
        <v/>
      </c>
      <c r="AH180" s="15" t="str">
        <f t="shared" si="177"/>
        <v/>
      </c>
      <c r="AI180" s="15" t="str">
        <f t="shared" si="177"/>
        <v/>
      </c>
      <c r="AJ180" s="15" t="str">
        <f t="shared" si="177"/>
        <v/>
      </c>
      <c r="AK180" s="15" t="str">
        <f t="shared" si="177"/>
        <v/>
      </c>
      <c r="AL180" s="15" t="str">
        <f t="shared" si="177"/>
        <v/>
      </c>
      <c r="AM180" s="15" t="str">
        <f t="shared" si="177"/>
        <v/>
      </c>
      <c r="AN180" s="15" t="str">
        <f t="shared" si="177"/>
        <v/>
      </c>
      <c r="AO180" s="15" t="str">
        <f t="shared" si="177"/>
        <v/>
      </c>
      <c r="AP180" s="15" t="str">
        <f t="shared" si="177"/>
        <v/>
      </c>
      <c r="AQ180" s="15" t="str">
        <f t="shared" si="177"/>
        <v/>
      </c>
      <c r="AR180" s="15" t="str">
        <f t="shared" si="177"/>
        <v/>
      </c>
      <c r="AS180" s="15" t="str">
        <f t="shared" si="177"/>
        <v/>
      </c>
      <c r="AT180" s="15" t="str">
        <f t="shared" si="177"/>
        <v/>
      </c>
      <c r="AU180" s="15" t="str">
        <f t="shared" si="177"/>
        <v/>
      </c>
      <c r="AV180" s="15" t="str">
        <f t="shared" si="177"/>
        <v/>
      </c>
      <c r="AW180" s="15" t="str">
        <f t="shared" si="177"/>
        <v/>
      </c>
      <c r="AX180" s="15" t="str">
        <f t="shared" si="177"/>
        <v/>
      </c>
      <c r="AY180" s="15" t="str">
        <f t="shared" si="177"/>
        <v/>
      </c>
    </row>
    <row r="181" ht="18.0" customHeight="1">
      <c r="A181" s="13" t="str">
        <f t="shared" si="1"/>
        <v/>
      </c>
      <c r="B181" s="13" t="str">
        <f t="shared" si="2"/>
        <v/>
      </c>
      <c r="C181" s="12" t="str">
        <f t="shared" si="3"/>
        <v/>
      </c>
      <c r="D181" s="12" t="str">
        <f t="shared" si="4"/>
        <v/>
      </c>
      <c r="E181" s="12" t="str">
        <f t="shared" si="5"/>
        <v/>
      </c>
      <c r="F181" s="12" t="str">
        <f t="shared" si="6"/>
        <v/>
      </c>
      <c r="G181" s="12" t="str">
        <f t="shared" si="7"/>
        <v/>
      </c>
      <c r="H181" s="12" t="str">
        <f t="shared" si="8"/>
        <v/>
      </c>
      <c r="I181" s="12" t="str">
        <f t="shared" si="9"/>
        <v/>
      </c>
      <c r="J181" s="12" t="str">
        <f t="shared" si="10"/>
        <v/>
      </c>
      <c r="L181" s="15" t="str">
        <f t="shared" ref="L181:AY181" si="178">IF(L$13="","",IF(AND(L$13&gt;$H180,L$13&lt;=$I180),IF(AND(MOD($B$6,2)=1,L$13=ROUNDUP($J180,0)),"0",IF(L$13=INT($H180)+1,ROUNDDOWN(ABS(L$13-$J180),0),IF(L$13=INT($I180),ROUNDUP(ABS(L$13-$J180),0),""))),""))</f>
        <v/>
      </c>
      <c r="M181" s="15" t="str">
        <f t="shared" si="178"/>
        <v/>
      </c>
      <c r="N181" s="15" t="str">
        <f t="shared" si="178"/>
        <v/>
      </c>
      <c r="O181" s="15" t="str">
        <f t="shared" si="178"/>
        <v/>
      </c>
      <c r="P181" s="15" t="str">
        <f t="shared" si="178"/>
        <v/>
      </c>
      <c r="Q181" s="15" t="str">
        <f t="shared" si="178"/>
        <v/>
      </c>
      <c r="R181" s="15" t="str">
        <f t="shared" si="178"/>
        <v/>
      </c>
      <c r="S181" s="15" t="str">
        <f t="shared" si="178"/>
        <v/>
      </c>
      <c r="T181" s="15" t="str">
        <f t="shared" si="178"/>
        <v/>
      </c>
      <c r="U181" s="15" t="str">
        <f t="shared" si="178"/>
        <v/>
      </c>
      <c r="V181" s="15" t="str">
        <f t="shared" si="178"/>
        <v/>
      </c>
      <c r="W181" s="15" t="str">
        <f t="shared" si="178"/>
        <v/>
      </c>
      <c r="X181" s="15" t="str">
        <f t="shared" si="178"/>
        <v/>
      </c>
      <c r="Y181" s="15" t="str">
        <f t="shared" si="178"/>
        <v/>
      </c>
      <c r="Z181" s="15" t="str">
        <f t="shared" si="178"/>
        <v/>
      </c>
      <c r="AA181" s="15" t="str">
        <f t="shared" si="178"/>
        <v/>
      </c>
      <c r="AB181" s="15" t="str">
        <f t="shared" si="178"/>
        <v/>
      </c>
      <c r="AC181" s="15" t="str">
        <f t="shared" si="178"/>
        <v/>
      </c>
      <c r="AD181" s="15" t="str">
        <f t="shared" si="178"/>
        <v/>
      </c>
      <c r="AE181" s="15" t="str">
        <f t="shared" si="178"/>
        <v/>
      </c>
      <c r="AF181" s="15" t="str">
        <f t="shared" si="178"/>
        <v/>
      </c>
      <c r="AG181" s="15" t="str">
        <f t="shared" si="178"/>
        <v/>
      </c>
      <c r="AH181" s="15" t="str">
        <f t="shared" si="178"/>
        <v/>
      </c>
      <c r="AI181" s="15" t="str">
        <f t="shared" si="178"/>
        <v/>
      </c>
      <c r="AJ181" s="15" t="str">
        <f t="shared" si="178"/>
        <v/>
      </c>
      <c r="AK181" s="15" t="str">
        <f t="shared" si="178"/>
        <v/>
      </c>
      <c r="AL181" s="15" t="str">
        <f t="shared" si="178"/>
        <v/>
      </c>
      <c r="AM181" s="15" t="str">
        <f t="shared" si="178"/>
        <v/>
      </c>
      <c r="AN181" s="15" t="str">
        <f t="shared" si="178"/>
        <v/>
      </c>
      <c r="AO181" s="15" t="str">
        <f t="shared" si="178"/>
        <v/>
      </c>
      <c r="AP181" s="15" t="str">
        <f t="shared" si="178"/>
        <v/>
      </c>
      <c r="AQ181" s="15" t="str">
        <f t="shared" si="178"/>
        <v/>
      </c>
      <c r="AR181" s="15" t="str">
        <f t="shared" si="178"/>
        <v/>
      </c>
      <c r="AS181" s="15" t="str">
        <f t="shared" si="178"/>
        <v/>
      </c>
      <c r="AT181" s="15" t="str">
        <f t="shared" si="178"/>
        <v/>
      </c>
      <c r="AU181" s="15" t="str">
        <f t="shared" si="178"/>
        <v/>
      </c>
      <c r="AV181" s="15" t="str">
        <f t="shared" si="178"/>
        <v/>
      </c>
      <c r="AW181" s="15" t="str">
        <f t="shared" si="178"/>
        <v/>
      </c>
      <c r="AX181" s="15" t="str">
        <f t="shared" si="178"/>
        <v/>
      </c>
      <c r="AY181" s="15" t="str">
        <f t="shared" si="178"/>
        <v/>
      </c>
    </row>
    <row r="182" ht="18.0" customHeight="1">
      <c r="A182" s="13" t="str">
        <f t="shared" si="1"/>
        <v/>
      </c>
      <c r="B182" s="13" t="str">
        <f t="shared" si="2"/>
        <v/>
      </c>
      <c r="C182" s="12" t="str">
        <f t="shared" si="3"/>
        <v/>
      </c>
      <c r="D182" s="12" t="str">
        <f t="shared" si="4"/>
        <v/>
      </c>
      <c r="E182" s="12" t="str">
        <f t="shared" si="5"/>
        <v/>
      </c>
      <c r="F182" s="12" t="str">
        <f t="shared" si="6"/>
        <v/>
      </c>
      <c r="G182" s="12" t="str">
        <f t="shared" si="7"/>
        <v/>
      </c>
      <c r="H182" s="12" t="str">
        <f t="shared" si="8"/>
        <v/>
      </c>
      <c r="I182" s="12" t="str">
        <f t="shared" si="9"/>
        <v/>
      </c>
      <c r="J182" s="12" t="str">
        <f t="shared" si="10"/>
        <v/>
      </c>
      <c r="L182" s="15" t="str">
        <f t="shared" ref="L182:AY182" si="179">IF(L$13="","",IF(AND(L$13&gt;$H181,L$13&lt;=$I181),IF(AND(MOD($B$6,2)=1,L$13=ROUNDUP($J181,0)),"0",IF(L$13=INT($H181)+1,ROUNDDOWN(ABS(L$13-$J181),0),IF(L$13=INT($I181),ROUNDUP(ABS(L$13-$J181),0),""))),""))</f>
        <v/>
      </c>
      <c r="M182" s="15" t="str">
        <f t="shared" si="179"/>
        <v/>
      </c>
      <c r="N182" s="15" t="str">
        <f t="shared" si="179"/>
        <v/>
      </c>
      <c r="O182" s="15" t="str">
        <f t="shared" si="179"/>
        <v/>
      </c>
      <c r="P182" s="15" t="str">
        <f t="shared" si="179"/>
        <v/>
      </c>
      <c r="Q182" s="15" t="str">
        <f t="shared" si="179"/>
        <v/>
      </c>
      <c r="R182" s="15" t="str">
        <f t="shared" si="179"/>
        <v/>
      </c>
      <c r="S182" s="15" t="str">
        <f t="shared" si="179"/>
        <v/>
      </c>
      <c r="T182" s="15" t="str">
        <f t="shared" si="179"/>
        <v/>
      </c>
      <c r="U182" s="15" t="str">
        <f t="shared" si="179"/>
        <v/>
      </c>
      <c r="V182" s="15" t="str">
        <f t="shared" si="179"/>
        <v/>
      </c>
      <c r="W182" s="15" t="str">
        <f t="shared" si="179"/>
        <v/>
      </c>
      <c r="X182" s="15" t="str">
        <f t="shared" si="179"/>
        <v/>
      </c>
      <c r="Y182" s="15" t="str">
        <f t="shared" si="179"/>
        <v/>
      </c>
      <c r="Z182" s="15" t="str">
        <f t="shared" si="179"/>
        <v/>
      </c>
      <c r="AA182" s="15" t="str">
        <f t="shared" si="179"/>
        <v/>
      </c>
      <c r="AB182" s="15" t="str">
        <f t="shared" si="179"/>
        <v/>
      </c>
      <c r="AC182" s="15" t="str">
        <f t="shared" si="179"/>
        <v/>
      </c>
      <c r="AD182" s="15" t="str">
        <f t="shared" si="179"/>
        <v/>
      </c>
      <c r="AE182" s="15" t="str">
        <f t="shared" si="179"/>
        <v/>
      </c>
      <c r="AF182" s="15" t="str">
        <f t="shared" si="179"/>
        <v/>
      </c>
      <c r="AG182" s="15" t="str">
        <f t="shared" si="179"/>
        <v/>
      </c>
      <c r="AH182" s="15" t="str">
        <f t="shared" si="179"/>
        <v/>
      </c>
      <c r="AI182" s="15" t="str">
        <f t="shared" si="179"/>
        <v/>
      </c>
      <c r="AJ182" s="15" t="str">
        <f t="shared" si="179"/>
        <v/>
      </c>
      <c r="AK182" s="15" t="str">
        <f t="shared" si="179"/>
        <v/>
      </c>
      <c r="AL182" s="15" t="str">
        <f t="shared" si="179"/>
        <v/>
      </c>
      <c r="AM182" s="15" t="str">
        <f t="shared" si="179"/>
        <v/>
      </c>
      <c r="AN182" s="15" t="str">
        <f t="shared" si="179"/>
        <v/>
      </c>
      <c r="AO182" s="15" t="str">
        <f t="shared" si="179"/>
        <v/>
      </c>
      <c r="AP182" s="15" t="str">
        <f t="shared" si="179"/>
        <v/>
      </c>
      <c r="AQ182" s="15" t="str">
        <f t="shared" si="179"/>
        <v/>
      </c>
      <c r="AR182" s="15" t="str">
        <f t="shared" si="179"/>
        <v/>
      </c>
      <c r="AS182" s="15" t="str">
        <f t="shared" si="179"/>
        <v/>
      </c>
      <c r="AT182" s="15" t="str">
        <f t="shared" si="179"/>
        <v/>
      </c>
      <c r="AU182" s="15" t="str">
        <f t="shared" si="179"/>
        <v/>
      </c>
      <c r="AV182" s="15" t="str">
        <f t="shared" si="179"/>
        <v/>
      </c>
      <c r="AW182" s="15" t="str">
        <f t="shared" si="179"/>
        <v/>
      </c>
      <c r="AX182" s="15" t="str">
        <f t="shared" si="179"/>
        <v/>
      </c>
      <c r="AY182" s="15" t="str">
        <f t="shared" si="179"/>
        <v/>
      </c>
    </row>
    <row r="183" ht="18.0" customHeight="1">
      <c r="A183" s="13" t="str">
        <f t="shared" si="1"/>
        <v/>
      </c>
      <c r="B183" s="13" t="str">
        <f t="shared" si="2"/>
        <v/>
      </c>
      <c r="C183" s="12" t="str">
        <f t="shared" si="3"/>
        <v/>
      </c>
      <c r="D183" s="12" t="str">
        <f t="shared" si="4"/>
        <v/>
      </c>
      <c r="E183" s="12" t="str">
        <f t="shared" si="5"/>
        <v/>
      </c>
      <c r="F183" s="12" t="str">
        <f t="shared" si="6"/>
        <v/>
      </c>
      <c r="G183" s="12" t="str">
        <f t="shared" si="7"/>
        <v/>
      </c>
      <c r="H183" s="12" t="str">
        <f t="shared" si="8"/>
        <v/>
      </c>
      <c r="I183" s="12" t="str">
        <f t="shared" si="9"/>
        <v/>
      </c>
      <c r="J183" s="12" t="str">
        <f t="shared" si="10"/>
        <v/>
      </c>
      <c r="L183" s="15" t="str">
        <f t="shared" ref="L183:AY183" si="180">IF(L$13="","",IF(AND(L$13&gt;$H182,L$13&lt;=$I182),IF(AND(MOD($B$6,2)=1,L$13=ROUNDUP($J182,0)),"0",IF(L$13=INT($H182)+1,ROUNDDOWN(ABS(L$13-$J182),0),IF(L$13=INT($I182),ROUNDUP(ABS(L$13-$J182),0),""))),""))</f>
        <v/>
      </c>
      <c r="M183" s="15" t="str">
        <f t="shared" si="180"/>
        <v/>
      </c>
      <c r="N183" s="15" t="str">
        <f t="shared" si="180"/>
        <v/>
      </c>
      <c r="O183" s="15" t="str">
        <f t="shared" si="180"/>
        <v/>
      </c>
      <c r="P183" s="15" t="str">
        <f t="shared" si="180"/>
        <v/>
      </c>
      <c r="Q183" s="15" t="str">
        <f t="shared" si="180"/>
        <v/>
      </c>
      <c r="R183" s="15" t="str">
        <f t="shared" si="180"/>
        <v/>
      </c>
      <c r="S183" s="15" t="str">
        <f t="shared" si="180"/>
        <v/>
      </c>
      <c r="T183" s="15" t="str">
        <f t="shared" si="180"/>
        <v/>
      </c>
      <c r="U183" s="15" t="str">
        <f t="shared" si="180"/>
        <v/>
      </c>
      <c r="V183" s="15" t="str">
        <f t="shared" si="180"/>
        <v/>
      </c>
      <c r="W183" s="15" t="str">
        <f t="shared" si="180"/>
        <v/>
      </c>
      <c r="X183" s="15" t="str">
        <f t="shared" si="180"/>
        <v/>
      </c>
      <c r="Y183" s="15" t="str">
        <f t="shared" si="180"/>
        <v/>
      </c>
      <c r="Z183" s="15" t="str">
        <f t="shared" si="180"/>
        <v/>
      </c>
      <c r="AA183" s="15" t="str">
        <f t="shared" si="180"/>
        <v/>
      </c>
      <c r="AB183" s="15" t="str">
        <f t="shared" si="180"/>
        <v/>
      </c>
      <c r="AC183" s="15" t="str">
        <f t="shared" si="180"/>
        <v/>
      </c>
      <c r="AD183" s="15" t="str">
        <f t="shared" si="180"/>
        <v/>
      </c>
      <c r="AE183" s="15" t="str">
        <f t="shared" si="180"/>
        <v/>
      </c>
      <c r="AF183" s="15" t="str">
        <f t="shared" si="180"/>
        <v/>
      </c>
      <c r="AG183" s="15" t="str">
        <f t="shared" si="180"/>
        <v/>
      </c>
      <c r="AH183" s="15" t="str">
        <f t="shared" si="180"/>
        <v/>
      </c>
      <c r="AI183" s="15" t="str">
        <f t="shared" si="180"/>
        <v/>
      </c>
      <c r="AJ183" s="15" t="str">
        <f t="shared" si="180"/>
        <v/>
      </c>
      <c r="AK183" s="15" t="str">
        <f t="shared" si="180"/>
        <v/>
      </c>
      <c r="AL183" s="15" t="str">
        <f t="shared" si="180"/>
        <v/>
      </c>
      <c r="AM183" s="15" t="str">
        <f t="shared" si="180"/>
        <v/>
      </c>
      <c r="AN183" s="15" t="str">
        <f t="shared" si="180"/>
        <v/>
      </c>
      <c r="AO183" s="15" t="str">
        <f t="shared" si="180"/>
        <v/>
      </c>
      <c r="AP183" s="15" t="str">
        <f t="shared" si="180"/>
        <v/>
      </c>
      <c r="AQ183" s="15" t="str">
        <f t="shared" si="180"/>
        <v/>
      </c>
      <c r="AR183" s="15" t="str">
        <f t="shared" si="180"/>
        <v/>
      </c>
      <c r="AS183" s="15" t="str">
        <f t="shared" si="180"/>
        <v/>
      </c>
      <c r="AT183" s="15" t="str">
        <f t="shared" si="180"/>
        <v/>
      </c>
      <c r="AU183" s="15" t="str">
        <f t="shared" si="180"/>
        <v/>
      </c>
      <c r="AV183" s="15" t="str">
        <f t="shared" si="180"/>
        <v/>
      </c>
      <c r="AW183" s="15" t="str">
        <f t="shared" si="180"/>
        <v/>
      </c>
      <c r="AX183" s="15" t="str">
        <f t="shared" si="180"/>
        <v/>
      </c>
      <c r="AY183" s="15" t="str">
        <f t="shared" si="180"/>
        <v/>
      </c>
    </row>
    <row r="184" ht="18.0" customHeight="1">
      <c r="A184" s="13" t="str">
        <f t="shared" si="1"/>
        <v/>
      </c>
      <c r="B184" s="13" t="str">
        <f t="shared" si="2"/>
        <v/>
      </c>
      <c r="C184" s="12" t="str">
        <f t="shared" si="3"/>
        <v/>
      </c>
      <c r="D184" s="12" t="str">
        <f t="shared" si="4"/>
        <v/>
      </c>
      <c r="E184" s="12" t="str">
        <f t="shared" si="5"/>
        <v/>
      </c>
      <c r="F184" s="12" t="str">
        <f t="shared" si="6"/>
        <v/>
      </c>
      <c r="G184" s="12" t="str">
        <f t="shared" si="7"/>
        <v/>
      </c>
      <c r="H184" s="12" t="str">
        <f t="shared" si="8"/>
        <v/>
      </c>
      <c r="I184" s="12" t="str">
        <f t="shared" si="9"/>
        <v/>
      </c>
      <c r="J184" s="12" t="str">
        <f t="shared" si="10"/>
        <v/>
      </c>
      <c r="L184" s="15" t="str">
        <f t="shared" ref="L184:AY184" si="181">IF(L$13="","",IF(AND(L$13&gt;$H183,L$13&lt;=$I183),IF(AND(MOD($B$6,2)=1,L$13=ROUNDUP($J183,0)),"0",IF(L$13=INT($H183)+1,ROUNDDOWN(ABS(L$13-$J183),0),IF(L$13=INT($I183),ROUNDUP(ABS(L$13-$J183),0),""))),""))</f>
        <v/>
      </c>
      <c r="M184" s="15" t="str">
        <f t="shared" si="181"/>
        <v/>
      </c>
      <c r="N184" s="15" t="str">
        <f t="shared" si="181"/>
        <v/>
      </c>
      <c r="O184" s="15" t="str">
        <f t="shared" si="181"/>
        <v/>
      </c>
      <c r="P184" s="15" t="str">
        <f t="shared" si="181"/>
        <v/>
      </c>
      <c r="Q184" s="15" t="str">
        <f t="shared" si="181"/>
        <v/>
      </c>
      <c r="R184" s="15" t="str">
        <f t="shared" si="181"/>
        <v/>
      </c>
      <c r="S184" s="15" t="str">
        <f t="shared" si="181"/>
        <v/>
      </c>
      <c r="T184" s="15" t="str">
        <f t="shared" si="181"/>
        <v/>
      </c>
      <c r="U184" s="15" t="str">
        <f t="shared" si="181"/>
        <v/>
      </c>
      <c r="V184" s="15" t="str">
        <f t="shared" si="181"/>
        <v/>
      </c>
      <c r="W184" s="15" t="str">
        <f t="shared" si="181"/>
        <v/>
      </c>
      <c r="X184" s="15" t="str">
        <f t="shared" si="181"/>
        <v/>
      </c>
      <c r="Y184" s="15" t="str">
        <f t="shared" si="181"/>
        <v/>
      </c>
      <c r="Z184" s="15" t="str">
        <f t="shared" si="181"/>
        <v/>
      </c>
      <c r="AA184" s="15" t="str">
        <f t="shared" si="181"/>
        <v/>
      </c>
      <c r="AB184" s="15" t="str">
        <f t="shared" si="181"/>
        <v/>
      </c>
      <c r="AC184" s="15" t="str">
        <f t="shared" si="181"/>
        <v/>
      </c>
      <c r="AD184" s="15" t="str">
        <f t="shared" si="181"/>
        <v/>
      </c>
      <c r="AE184" s="15" t="str">
        <f t="shared" si="181"/>
        <v/>
      </c>
      <c r="AF184" s="15" t="str">
        <f t="shared" si="181"/>
        <v/>
      </c>
      <c r="AG184" s="15" t="str">
        <f t="shared" si="181"/>
        <v/>
      </c>
      <c r="AH184" s="15" t="str">
        <f t="shared" si="181"/>
        <v/>
      </c>
      <c r="AI184" s="15" t="str">
        <f t="shared" si="181"/>
        <v/>
      </c>
      <c r="AJ184" s="15" t="str">
        <f t="shared" si="181"/>
        <v/>
      </c>
      <c r="AK184" s="15" t="str">
        <f t="shared" si="181"/>
        <v/>
      </c>
      <c r="AL184" s="15" t="str">
        <f t="shared" si="181"/>
        <v/>
      </c>
      <c r="AM184" s="15" t="str">
        <f t="shared" si="181"/>
        <v/>
      </c>
      <c r="AN184" s="15" t="str">
        <f t="shared" si="181"/>
        <v/>
      </c>
      <c r="AO184" s="15" t="str">
        <f t="shared" si="181"/>
        <v/>
      </c>
      <c r="AP184" s="15" t="str">
        <f t="shared" si="181"/>
        <v/>
      </c>
      <c r="AQ184" s="15" t="str">
        <f t="shared" si="181"/>
        <v/>
      </c>
      <c r="AR184" s="15" t="str">
        <f t="shared" si="181"/>
        <v/>
      </c>
      <c r="AS184" s="15" t="str">
        <f t="shared" si="181"/>
        <v/>
      </c>
      <c r="AT184" s="15" t="str">
        <f t="shared" si="181"/>
        <v/>
      </c>
      <c r="AU184" s="15" t="str">
        <f t="shared" si="181"/>
        <v/>
      </c>
      <c r="AV184" s="15" t="str">
        <f t="shared" si="181"/>
        <v/>
      </c>
      <c r="AW184" s="15" t="str">
        <f t="shared" si="181"/>
        <v/>
      </c>
      <c r="AX184" s="15" t="str">
        <f t="shared" si="181"/>
        <v/>
      </c>
      <c r="AY184" s="15" t="str">
        <f t="shared" si="181"/>
        <v/>
      </c>
    </row>
    <row r="185" ht="18.0" customHeight="1">
      <c r="A185" s="13" t="str">
        <f t="shared" si="1"/>
        <v/>
      </c>
      <c r="B185" s="13" t="str">
        <f t="shared" si="2"/>
        <v/>
      </c>
      <c r="C185" s="12" t="str">
        <f t="shared" si="3"/>
        <v/>
      </c>
      <c r="D185" s="12" t="str">
        <f t="shared" si="4"/>
        <v/>
      </c>
      <c r="E185" s="12" t="str">
        <f t="shared" si="5"/>
        <v/>
      </c>
      <c r="F185" s="12" t="str">
        <f t="shared" si="6"/>
        <v/>
      </c>
      <c r="G185" s="12" t="str">
        <f t="shared" si="7"/>
        <v/>
      </c>
      <c r="H185" s="12" t="str">
        <f t="shared" si="8"/>
        <v/>
      </c>
      <c r="I185" s="12" t="str">
        <f t="shared" si="9"/>
        <v/>
      </c>
      <c r="J185" s="12" t="str">
        <f t="shared" si="10"/>
        <v/>
      </c>
      <c r="L185" s="15" t="str">
        <f t="shared" ref="L185:AY185" si="182">IF(L$13="","",IF(AND(L$13&gt;$H184,L$13&lt;=$I184),IF(AND(MOD($B$6,2)=1,L$13=ROUNDUP($J184,0)),"0",IF(L$13=INT($H184)+1,ROUNDDOWN(ABS(L$13-$J184),0),IF(L$13=INT($I184),ROUNDUP(ABS(L$13-$J184),0),""))),""))</f>
        <v/>
      </c>
      <c r="M185" s="15" t="str">
        <f t="shared" si="182"/>
        <v/>
      </c>
      <c r="N185" s="15" t="str">
        <f t="shared" si="182"/>
        <v/>
      </c>
      <c r="O185" s="15" t="str">
        <f t="shared" si="182"/>
        <v/>
      </c>
      <c r="P185" s="15" t="str">
        <f t="shared" si="182"/>
        <v/>
      </c>
      <c r="Q185" s="15" t="str">
        <f t="shared" si="182"/>
        <v/>
      </c>
      <c r="R185" s="15" t="str">
        <f t="shared" si="182"/>
        <v/>
      </c>
      <c r="S185" s="15" t="str">
        <f t="shared" si="182"/>
        <v/>
      </c>
      <c r="T185" s="15" t="str">
        <f t="shared" si="182"/>
        <v/>
      </c>
      <c r="U185" s="15" t="str">
        <f t="shared" si="182"/>
        <v/>
      </c>
      <c r="V185" s="15" t="str">
        <f t="shared" si="182"/>
        <v/>
      </c>
      <c r="W185" s="15" t="str">
        <f t="shared" si="182"/>
        <v/>
      </c>
      <c r="X185" s="15" t="str">
        <f t="shared" si="182"/>
        <v/>
      </c>
      <c r="Y185" s="15" t="str">
        <f t="shared" si="182"/>
        <v/>
      </c>
      <c r="Z185" s="15" t="str">
        <f t="shared" si="182"/>
        <v/>
      </c>
      <c r="AA185" s="15" t="str">
        <f t="shared" si="182"/>
        <v/>
      </c>
      <c r="AB185" s="15" t="str">
        <f t="shared" si="182"/>
        <v/>
      </c>
      <c r="AC185" s="15" t="str">
        <f t="shared" si="182"/>
        <v/>
      </c>
      <c r="AD185" s="15" t="str">
        <f t="shared" si="182"/>
        <v/>
      </c>
      <c r="AE185" s="15" t="str">
        <f t="shared" si="182"/>
        <v/>
      </c>
      <c r="AF185" s="15" t="str">
        <f t="shared" si="182"/>
        <v/>
      </c>
      <c r="AG185" s="15" t="str">
        <f t="shared" si="182"/>
        <v/>
      </c>
      <c r="AH185" s="15" t="str">
        <f t="shared" si="182"/>
        <v/>
      </c>
      <c r="AI185" s="15" t="str">
        <f t="shared" si="182"/>
        <v/>
      </c>
      <c r="AJ185" s="15" t="str">
        <f t="shared" si="182"/>
        <v/>
      </c>
      <c r="AK185" s="15" t="str">
        <f t="shared" si="182"/>
        <v/>
      </c>
      <c r="AL185" s="15" t="str">
        <f t="shared" si="182"/>
        <v/>
      </c>
      <c r="AM185" s="15" t="str">
        <f t="shared" si="182"/>
        <v/>
      </c>
      <c r="AN185" s="15" t="str">
        <f t="shared" si="182"/>
        <v/>
      </c>
      <c r="AO185" s="15" t="str">
        <f t="shared" si="182"/>
        <v/>
      </c>
      <c r="AP185" s="15" t="str">
        <f t="shared" si="182"/>
        <v/>
      </c>
      <c r="AQ185" s="15" t="str">
        <f t="shared" si="182"/>
        <v/>
      </c>
      <c r="AR185" s="15" t="str">
        <f t="shared" si="182"/>
        <v/>
      </c>
      <c r="AS185" s="15" t="str">
        <f t="shared" si="182"/>
        <v/>
      </c>
      <c r="AT185" s="15" t="str">
        <f t="shared" si="182"/>
        <v/>
      </c>
      <c r="AU185" s="15" t="str">
        <f t="shared" si="182"/>
        <v/>
      </c>
      <c r="AV185" s="15" t="str">
        <f t="shared" si="182"/>
        <v/>
      </c>
      <c r="AW185" s="15" t="str">
        <f t="shared" si="182"/>
        <v/>
      </c>
      <c r="AX185" s="15" t="str">
        <f t="shared" si="182"/>
        <v/>
      </c>
      <c r="AY185" s="15" t="str">
        <f t="shared" si="182"/>
        <v/>
      </c>
    </row>
    <row r="186" ht="18.0" customHeight="1">
      <c r="A186" s="13" t="str">
        <f t="shared" si="1"/>
        <v/>
      </c>
      <c r="B186" s="13" t="str">
        <f t="shared" si="2"/>
        <v/>
      </c>
      <c r="C186" s="12" t="str">
        <f t="shared" si="3"/>
        <v/>
      </c>
      <c r="D186" s="12" t="str">
        <f t="shared" si="4"/>
        <v/>
      </c>
      <c r="E186" s="12" t="str">
        <f t="shared" si="5"/>
        <v/>
      </c>
      <c r="F186" s="12" t="str">
        <f t="shared" si="6"/>
        <v/>
      </c>
      <c r="G186" s="12" t="str">
        <f t="shared" si="7"/>
        <v/>
      </c>
      <c r="H186" s="12" t="str">
        <f t="shared" si="8"/>
        <v/>
      </c>
      <c r="I186" s="12" t="str">
        <f t="shared" si="9"/>
        <v/>
      </c>
      <c r="J186" s="12" t="str">
        <f t="shared" si="10"/>
        <v/>
      </c>
      <c r="L186" s="15" t="str">
        <f t="shared" ref="L186:AY186" si="183">IF(L$13="","",IF(AND(L$13&gt;$H185,L$13&lt;=$I185),IF(AND(MOD($B$6,2)=1,L$13=ROUNDUP($J185,0)),"0",IF(L$13=INT($H185)+1,ROUNDDOWN(ABS(L$13-$J185),0),IF(L$13=INT($I185),ROUNDUP(ABS(L$13-$J185),0),""))),""))</f>
        <v/>
      </c>
      <c r="M186" s="15" t="str">
        <f t="shared" si="183"/>
        <v/>
      </c>
      <c r="N186" s="15" t="str">
        <f t="shared" si="183"/>
        <v/>
      </c>
      <c r="O186" s="15" t="str">
        <f t="shared" si="183"/>
        <v/>
      </c>
      <c r="P186" s="15" t="str">
        <f t="shared" si="183"/>
        <v/>
      </c>
      <c r="Q186" s="15" t="str">
        <f t="shared" si="183"/>
        <v/>
      </c>
      <c r="R186" s="15" t="str">
        <f t="shared" si="183"/>
        <v/>
      </c>
      <c r="S186" s="15" t="str">
        <f t="shared" si="183"/>
        <v/>
      </c>
      <c r="T186" s="15" t="str">
        <f t="shared" si="183"/>
        <v/>
      </c>
      <c r="U186" s="15" t="str">
        <f t="shared" si="183"/>
        <v/>
      </c>
      <c r="V186" s="15" t="str">
        <f t="shared" si="183"/>
        <v/>
      </c>
      <c r="W186" s="15" t="str">
        <f t="shared" si="183"/>
        <v/>
      </c>
      <c r="X186" s="15" t="str">
        <f t="shared" si="183"/>
        <v/>
      </c>
      <c r="Y186" s="15" t="str">
        <f t="shared" si="183"/>
        <v/>
      </c>
      <c r="Z186" s="15" t="str">
        <f t="shared" si="183"/>
        <v/>
      </c>
      <c r="AA186" s="15" t="str">
        <f t="shared" si="183"/>
        <v/>
      </c>
      <c r="AB186" s="15" t="str">
        <f t="shared" si="183"/>
        <v/>
      </c>
      <c r="AC186" s="15" t="str">
        <f t="shared" si="183"/>
        <v/>
      </c>
      <c r="AD186" s="15" t="str">
        <f t="shared" si="183"/>
        <v/>
      </c>
      <c r="AE186" s="15" t="str">
        <f t="shared" si="183"/>
        <v/>
      </c>
      <c r="AF186" s="15" t="str">
        <f t="shared" si="183"/>
        <v/>
      </c>
      <c r="AG186" s="15" t="str">
        <f t="shared" si="183"/>
        <v/>
      </c>
      <c r="AH186" s="15" t="str">
        <f t="shared" si="183"/>
        <v/>
      </c>
      <c r="AI186" s="15" t="str">
        <f t="shared" si="183"/>
        <v/>
      </c>
      <c r="AJ186" s="15" t="str">
        <f t="shared" si="183"/>
        <v/>
      </c>
      <c r="AK186" s="15" t="str">
        <f t="shared" si="183"/>
        <v/>
      </c>
      <c r="AL186" s="15" t="str">
        <f t="shared" si="183"/>
        <v/>
      </c>
      <c r="AM186" s="15" t="str">
        <f t="shared" si="183"/>
        <v/>
      </c>
      <c r="AN186" s="15" t="str">
        <f t="shared" si="183"/>
        <v/>
      </c>
      <c r="AO186" s="15" t="str">
        <f t="shared" si="183"/>
        <v/>
      </c>
      <c r="AP186" s="15" t="str">
        <f t="shared" si="183"/>
        <v/>
      </c>
      <c r="AQ186" s="15" t="str">
        <f t="shared" si="183"/>
        <v/>
      </c>
      <c r="AR186" s="15" t="str">
        <f t="shared" si="183"/>
        <v/>
      </c>
      <c r="AS186" s="15" t="str">
        <f t="shared" si="183"/>
        <v/>
      </c>
      <c r="AT186" s="15" t="str">
        <f t="shared" si="183"/>
        <v/>
      </c>
      <c r="AU186" s="15" t="str">
        <f t="shared" si="183"/>
        <v/>
      </c>
      <c r="AV186" s="15" t="str">
        <f t="shared" si="183"/>
        <v/>
      </c>
      <c r="AW186" s="15" t="str">
        <f t="shared" si="183"/>
        <v/>
      </c>
      <c r="AX186" s="15" t="str">
        <f t="shared" si="183"/>
        <v/>
      </c>
      <c r="AY186" s="15" t="str">
        <f t="shared" si="183"/>
        <v/>
      </c>
    </row>
    <row r="187" ht="18.0" customHeight="1">
      <c r="A187" s="13" t="str">
        <f t="shared" si="1"/>
        <v/>
      </c>
      <c r="B187" s="13" t="str">
        <f t="shared" si="2"/>
        <v/>
      </c>
      <c r="C187" s="12" t="str">
        <f t="shared" si="3"/>
        <v/>
      </c>
      <c r="D187" s="12" t="str">
        <f t="shared" si="4"/>
        <v/>
      </c>
      <c r="E187" s="12" t="str">
        <f t="shared" si="5"/>
        <v/>
      </c>
      <c r="F187" s="12" t="str">
        <f t="shared" si="6"/>
        <v/>
      </c>
      <c r="G187" s="12" t="str">
        <f t="shared" si="7"/>
        <v/>
      </c>
      <c r="H187" s="12" t="str">
        <f t="shared" si="8"/>
        <v/>
      </c>
      <c r="I187" s="12" t="str">
        <f t="shared" si="9"/>
        <v/>
      </c>
      <c r="J187" s="12" t="str">
        <f t="shared" si="10"/>
        <v/>
      </c>
      <c r="L187" s="15" t="str">
        <f t="shared" ref="L187:AY187" si="184">IF(L$13="","",IF(AND(L$13&gt;$H186,L$13&lt;=$I186),IF(AND(MOD($B$6,2)=1,L$13=ROUNDUP($J186,0)),"0",IF(L$13=INT($H186)+1,ROUNDDOWN(ABS(L$13-$J186),0),IF(L$13=INT($I186),ROUNDUP(ABS(L$13-$J186),0),""))),""))</f>
        <v/>
      </c>
      <c r="M187" s="15" t="str">
        <f t="shared" si="184"/>
        <v/>
      </c>
      <c r="N187" s="15" t="str">
        <f t="shared" si="184"/>
        <v/>
      </c>
      <c r="O187" s="15" t="str">
        <f t="shared" si="184"/>
        <v/>
      </c>
      <c r="P187" s="15" t="str">
        <f t="shared" si="184"/>
        <v/>
      </c>
      <c r="Q187" s="15" t="str">
        <f t="shared" si="184"/>
        <v/>
      </c>
      <c r="R187" s="15" t="str">
        <f t="shared" si="184"/>
        <v/>
      </c>
      <c r="S187" s="15" t="str">
        <f t="shared" si="184"/>
        <v/>
      </c>
      <c r="T187" s="15" t="str">
        <f t="shared" si="184"/>
        <v/>
      </c>
      <c r="U187" s="15" t="str">
        <f t="shared" si="184"/>
        <v/>
      </c>
      <c r="V187" s="15" t="str">
        <f t="shared" si="184"/>
        <v/>
      </c>
      <c r="W187" s="15" t="str">
        <f t="shared" si="184"/>
        <v/>
      </c>
      <c r="X187" s="15" t="str">
        <f t="shared" si="184"/>
        <v/>
      </c>
      <c r="Y187" s="15" t="str">
        <f t="shared" si="184"/>
        <v/>
      </c>
      <c r="Z187" s="15" t="str">
        <f t="shared" si="184"/>
        <v/>
      </c>
      <c r="AA187" s="15" t="str">
        <f t="shared" si="184"/>
        <v/>
      </c>
      <c r="AB187" s="15" t="str">
        <f t="shared" si="184"/>
        <v/>
      </c>
      <c r="AC187" s="15" t="str">
        <f t="shared" si="184"/>
        <v/>
      </c>
      <c r="AD187" s="15" t="str">
        <f t="shared" si="184"/>
        <v/>
      </c>
      <c r="AE187" s="15" t="str">
        <f t="shared" si="184"/>
        <v/>
      </c>
      <c r="AF187" s="15" t="str">
        <f t="shared" si="184"/>
        <v/>
      </c>
      <c r="AG187" s="15" t="str">
        <f t="shared" si="184"/>
        <v/>
      </c>
      <c r="AH187" s="15" t="str">
        <f t="shared" si="184"/>
        <v/>
      </c>
      <c r="AI187" s="15" t="str">
        <f t="shared" si="184"/>
        <v/>
      </c>
      <c r="AJ187" s="15" t="str">
        <f t="shared" si="184"/>
        <v/>
      </c>
      <c r="AK187" s="15" t="str">
        <f t="shared" si="184"/>
        <v/>
      </c>
      <c r="AL187" s="15" t="str">
        <f t="shared" si="184"/>
        <v/>
      </c>
      <c r="AM187" s="15" t="str">
        <f t="shared" si="184"/>
        <v/>
      </c>
      <c r="AN187" s="15" t="str">
        <f t="shared" si="184"/>
        <v/>
      </c>
      <c r="AO187" s="15" t="str">
        <f t="shared" si="184"/>
        <v/>
      </c>
      <c r="AP187" s="15" t="str">
        <f t="shared" si="184"/>
        <v/>
      </c>
      <c r="AQ187" s="15" t="str">
        <f t="shared" si="184"/>
        <v/>
      </c>
      <c r="AR187" s="15" t="str">
        <f t="shared" si="184"/>
        <v/>
      </c>
      <c r="AS187" s="15" t="str">
        <f t="shared" si="184"/>
        <v/>
      </c>
      <c r="AT187" s="15" t="str">
        <f t="shared" si="184"/>
        <v/>
      </c>
      <c r="AU187" s="15" t="str">
        <f t="shared" si="184"/>
        <v/>
      </c>
      <c r="AV187" s="15" t="str">
        <f t="shared" si="184"/>
        <v/>
      </c>
      <c r="AW187" s="15" t="str">
        <f t="shared" si="184"/>
        <v/>
      </c>
      <c r="AX187" s="15" t="str">
        <f t="shared" si="184"/>
        <v/>
      </c>
      <c r="AY187" s="15" t="str">
        <f t="shared" si="184"/>
        <v/>
      </c>
    </row>
    <row r="188" ht="18.0" customHeight="1">
      <c r="A188" s="13" t="str">
        <f t="shared" si="1"/>
        <v/>
      </c>
      <c r="B188" s="13" t="str">
        <f t="shared" si="2"/>
        <v/>
      </c>
      <c r="C188" s="12" t="str">
        <f t="shared" si="3"/>
        <v/>
      </c>
      <c r="D188" s="12" t="str">
        <f t="shared" si="4"/>
        <v/>
      </c>
      <c r="E188" s="12" t="str">
        <f t="shared" si="5"/>
        <v/>
      </c>
      <c r="F188" s="12" t="str">
        <f t="shared" si="6"/>
        <v/>
      </c>
      <c r="G188" s="12" t="str">
        <f t="shared" si="7"/>
        <v/>
      </c>
      <c r="H188" s="12" t="str">
        <f t="shared" si="8"/>
        <v/>
      </c>
      <c r="I188" s="12" t="str">
        <f t="shared" si="9"/>
        <v/>
      </c>
      <c r="J188" s="12" t="str">
        <f t="shared" si="10"/>
        <v/>
      </c>
      <c r="L188" s="15" t="str">
        <f t="shared" ref="L188:AY188" si="185">IF(L$13="","",IF(AND(L$13&gt;$H187,L$13&lt;=$I187),IF(AND(MOD($B$6,2)=1,L$13=ROUNDUP($J187,0)),"0",IF(L$13=INT($H187)+1,ROUNDDOWN(ABS(L$13-$J187),0),IF(L$13=INT($I187),ROUNDUP(ABS(L$13-$J187),0),""))),""))</f>
        <v/>
      </c>
      <c r="M188" s="15" t="str">
        <f t="shared" si="185"/>
        <v/>
      </c>
      <c r="N188" s="15" t="str">
        <f t="shared" si="185"/>
        <v/>
      </c>
      <c r="O188" s="15" t="str">
        <f t="shared" si="185"/>
        <v/>
      </c>
      <c r="P188" s="15" t="str">
        <f t="shared" si="185"/>
        <v/>
      </c>
      <c r="Q188" s="15" t="str">
        <f t="shared" si="185"/>
        <v/>
      </c>
      <c r="R188" s="15" t="str">
        <f t="shared" si="185"/>
        <v/>
      </c>
      <c r="S188" s="15" t="str">
        <f t="shared" si="185"/>
        <v/>
      </c>
      <c r="T188" s="15" t="str">
        <f t="shared" si="185"/>
        <v/>
      </c>
      <c r="U188" s="15" t="str">
        <f t="shared" si="185"/>
        <v/>
      </c>
      <c r="V188" s="15" t="str">
        <f t="shared" si="185"/>
        <v/>
      </c>
      <c r="W188" s="15" t="str">
        <f t="shared" si="185"/>
        <v/>
      </c>
      <c r="X188" s="15" t="str">
        <f t="shared" si="185"/>
        <v/>
      </c>
      <c r="Y188" s="15" t="str">
        <f t="shared" si="185"/>
        <v/>
      </c>
      <c r="Z188" s="15" t="str">
        <f t="shared" si="185"/>
        <v/>
      </c>
      <c r="AA188" s="15" t="str">
        <f t="shared" si="185"/>
        <v/>
      </c>
      <c r="AB188" s="15" t="str">
        <f t="shared" si="185"/>
        <v/>
      </c>
      <c r="AC188" s="15" t="str">
        <f t="shared" si="185"/>
        <v/>
      </c>
      <c r="AD188" s="15" t="str">
        <f t="shared" si="185"/>
        <v/>
      </c>
      <c r="AE188" s="15" t="str">
        <f t="shared" si="185"/>
        <v/>
      </c>
      <c r="AF188" s="15" t="str">
        <f t="shared" si="185"/>
        <v/>
      </c>
      <c r="AG188" s="15" t="str">
        <f t="shared" si="185"/>
        <v/>
      </c>
      <c r="AH188" s="15" t="str">
        <f t="shared" si="185"/>
        <v/>
      </c>
      <c r="AI188" s="15" t="str">
        <f t="shared" si="185"/>
        <v/>
      </c>
      <c r="AJ188" s="15" t="str">
        <f t="shared" si="185"/>
        <v/>
      </c>
      <c r="AK188" s="15" t="str">
        <f t="shared" si="185"/>
        <v/>
      </c>
      <c r="AL188" s="15" t="str">
        <f t="shared" si="185"/>
        <v/>
      </c>
      <c r="AM188" s="15" t="str">
        <f t="shared" si="185"/>
        <v/>
      </c>
      <c r="AN188" s="15" t="str">
        <f t="shared" si="185"/>
        <v/>
      </c>
      <c r="AO188" s="15" t="str">
        <f t="shared" si="185"/>
        <v/>
      </c>
      <c r="AP188" s="15" t="str">
        <f t="shared" si="185"/>
        <v/>
      </c>
      <c r="AQ188" s="15" t="str">
        <f t="shared" si="185"/>
        <v/>
      </c>
      <c r="AR188" s="15" t="str">
        <f t="shared" si="185"/>
        <v/>
      </c>
      <c r="AS188" s="15" t="str">
        <f t="shared" si="185"/>
        <v/>
      </c>
      <c r="AT188" s="15" t="str">
        <f t="shared" si="185"/>
        <v/>
      </c>
      <c r="AU188" s="15" t="str">
        <f t="shared" si="185"/>
        <v/>
      </c>
      <c r="AV188" s="15" t="str">
        <f t="shared" si="185"/>
        <v/>
      </c>
      <c r="AW188" s="15" t="str">
        <f t="shared" si="185"/>
        <v/>
      </c>
      <c r="AX188" s="15" t="str">
        <f t="shared" si="185"/>
        <v/>
      </c>
      <c r="AY188" s="15" t="str">
        <f t="shared" si="185"/>
        <v/>
      </c>
    </row>
    <row r="189" ht="18.0" customHeight="1">
      <c r="A189" s="13" t="str">
        <f t="shared" si="1"/>
        <v/>
      </c>
      <c r="B189" s="13" t="str">
        <f t="shared" si="2"/>
        <v/>
      </c>
      <c r="C189" s="12" t="str">
        <f t="shared" si="3"/>
        <v/>
      </c>
      <c r="D189" s="12" t="str">
        <f t="shared" si="4"/>
        <v/>
      </c>
      <c r="E189" s="12" t="str">
        <f t="shared" si="5"/>
        <v/>
      </c>
      <c r="F189" s="12" t="str">
        <f t="shared" si="6"/>
        <v/>
      </c>
      <c r="G189" s="12" t="str">
        <f t="shared" si="7"/>
        <v/>
      </c>
      <c r="H189" s="12" t="str">
        <f t="shared" si="8"/>
        <v/>
      </c>
      <c r="I189" s="12" t="str">
        <f t="shared" si="9"/>
        <v/>
      </c>
      <c r="J189" s="12" t="str">
        <f t="shared" si="10"/>
        <v/>
      </c>
      <c r="L189" s="15" t="str">
        <f t="shared" ref="L189:AY189" si="186">IF(L$13="","",IF(AND(L$13&gt;$H188,L$13&lt;=$I188),IF(AND(MOD($B$6,2)=1,L$13=ROUNDUP($J188,0)),"0",IF(L$13=INT($H188)+1,ROUNDDOWN(ABS(L$13-$J188),0),IF(L$13=INT($I188),ROUNDUP(ABS(L$13-$J188),0),""))),""))</f>
        <v/>
      </c>
      <c r="M189" s="15" t="str">
        <f t="shared" si="186"/>
        <v/>
      </c>
      <c r="N189" s="15" t="str">
        <f t="shared" si="186"/>
        <v/>
      </c>
      <c r="O189" s="15" t="str">
        <f t="shared" si="186"/>
        <v/>
      </c>
      <c r="P189" s="15" t="str">
        <f t="shared" si="186"/>
        <v/>
      </c>
      <c r="Q189" s="15" t="str">
        <f t="shared" si="186"/>
        <v/>
      </c>
      <c r="R189" s="15" t="str">
        <f t="shared" si="186"/>
        <v/>
      </c>
      <c r="S189" s="15" t="str">
        <f t="shared" si="186"/>
        <v/>
      </c>
      <c r="T189" s="15" t="str">
        <f t="shared" si="186"/>
        <v/>
      </c>
      <c r="U189" s="15" t="str">
        <f t="shared" si="186"/>
        <v/>
      </c>
      <c r="V189" s="15" t="str">
        <f t="shared" si="186"/>
        <v/>
      </c>
      <c r="W189" s="15" t="str">
        <f t="shared" si="186"/>
        <v/>
      </c>
      <c r="X189" s="15" t="str">
        <f t="shared" si="186"/>
        <v/>
      </c>
      <c r="Y189" s="15" t="str">
        <f t="shared" si="186"/>
        <v/>
      </c>
      <c r="Z189" s="15" t="str">
        <f t="shared" si="186"/>
        <v/>
      </c>
      <c r="AA189" s="15" t="str">
        <f t="shared" si="186"/>
        <v/>
      </c>
      <c r="AB189" s="15" t="str">
        <f t="shared" si="186"/>
        <v/>
      </c>
      <c r="AC189" s="15" t="str">
        <f t="shared" si="186"/>
        <v/>
      </c>
      <c r="AD189" s="15" t="str">
        <f t="shared" si="186"/>
        <v/>
      </c>
      <c r="AE189" s="15" t="str">
        <f t="shared" si="186"/>
        <v/>
      </c>
      <c r="AF189" s="15" t="str">
        <f t="shared" si="186"/>
        <v/>
      </c>
      <c r="AG189" s="15" t="str">
        <f t="shared" si="186"/>
        <v/>
      </c>
      <c r="AH189" s="15" t="str">
        <f t="shared" si="186"/>
        <v/>
      </c>
      <c r="AI189" s="15" t="str">
        <f t="shared" si="186"/>
        <v/>
      </c>
      <c r="AJ189" s="15" t="str">
        <f t="shared" si="186"/>
        <v/>
      </c>
      <c r="AK189" s="15" t="str">
        <f t="shared" si="186"/>
        <v/>
      </c>
      <c r="AL189" s="15" t="str">
        <f t="shared" si="186"/>
        <v/>
      </c>
      <c r="AM189" s="15" t="str">
        <f t="shared" si="186"/>
        <v/>
      </c>
      <c r="AN189" s="15" t="str">
        <f t="shared" si="186"/>
        <v/>
      </c>
      <c r="AO189" s="15" t="str">
        <f t="shared" si="186"/>
        <v/>
      </c>
      <c r="AP189" s="15" t="str">
        <f t="shared" si="186"/>
        <v/>
      </c>
      <c r="AQ189" s="15" t="str">
        <f t="shared" si="186"/>
        <v/>
      </c>
      <c r="AR189" s="15" t="str">
        <f t="shared" si="186"/>
        <v/>
      </c>
      <c r="AS189" s="15" t="str">
        <f t="shared" si="186"/>
        <v/>
      </c>
      <c r="AT189" s="15" t="str">
        <f t="shared" si="186"/>
        <v/>
      </c>
      <c r="AU189" s="15" t="str">
        <f t="shared" si="186"/>
        <v/>
      </c>
      <c r="AV189" s="15" t="str">
        <f t="shared" si="186"/>
        <v/>
      </c>
      <c r="AW189" s="15" t="str">
        <f t="shared" si="186"/>
        <v/>
      </c>
      <c r="AX189" s="15" t="str">
        <f t="shared" si="186"/>
        <v/>
      </c>
      <c r="AY189" s="15" t="str">
        <f t="shared" si="186"/>
        <v/>
      </c>
    </row>
    <row r="190" ht="18.0" customHeight="1">
      <c r="A190" s="13" t="str">
        <f t="shared" si="1"/>
        <v/>
      </c>
      <c r="B190" s="13" t="str">
        <f t="shared" si="2"/>
        <v/>
      </c>
      <c r="C190" s="12" t="str">
        <f t="shared" si="3"/>
        <v/>
      </c>
      <c r="D190" s="12" t="str">
        <f t="shared" si="4"/>
        <v/>
      </c>
      <c r="E190" s="12" t="str">
        <f t="shared" si="5"/>
        <v/>
      </c>
      <c r="F190" s="12" t="str">
        <f t="shared" si="6"/>
        <v/>
      </c>
      <c r="G190" s="12" t="str">
        <f t="shared" si="7"/>
        <v/>
      </c>
      <c r="H190" s="12" t="str">
        <f t="shared" si="8"/>
        <v/>
      </c>
      <c r="I190" s="12" t="str">
        <f t="shared" si="9"/>
        <v/>
      </c>
      <c r="J190" s="12" t="str">
        <f t="shared" si="10"/>
        <v/>
      </c>
      <c r="L190" s="15" t="str">
        <f t="shared" ref="L190:AY190" si="187">IF(L$13="","",IF(AND(L$13&gt;$H189,L$13&lt;=$I189),IF(AND(MOD($B$6,2)=1,L$13=ROUNDUP($J189,0)),"0",IF(L$13=INT($H189)+1,ROUNDDOWN(ABS(L$13-$J189),0),IF(L$13=INT($I189),ROUNDUP(ABS(L$13-$J189),0),""))),""))</f>
        <v/>
      </c>
      <c r="M190" s="15" t="str">
        <f t="shared" si="187"/>
        <v/>
      </c>
      <c r="N190" s="15" t="str">
        <f t="shared" si="187"/>
        <v/>
      </c>
      <c r="O190" s="15" t="str">
        <f t="shared" si="187"/>
        <v/>
      </c>
      <c r="P190" s="15" t="str">
        <f t="shared" si="187"/>
        <v/>
      </c>
      <c r="Q190" s="15" t="str">
        <f t="shared" si="187"/>
        <v/>
      </c>
      <c r="R190" s="15" t="str">
        <f t="shared" si="187"/>
        <v/>
      </c>
      <c r="S190" s="15" t="str">
        <f t="shared" si="187"/>
        <v/>
      </c>
      <c r="T190" s="15" t="str">
        <f t="shared" si="187"/>
        <v/>
      </c>
      <c r="U190" s="15" t="str">
        <f t="shared" si="187"/>
        <v/>
      </c>
      <c r="V190" s="15" t="str">
        <f t="shared" si="187"/>
        <v/>
      </c>
      <c r="W190" s="15" t="str">
        <f t="shared" si="187"/>
        <v/>
      </c>
      <c r="X190" s="15" t="str">
        <f t="shared" si="187"/>
        <v/>
      </c>
      <c r="Y190" s="15" t="str">
        <f t="shared" si="187"/>
        <v/>
      </c>
      <c r="Z190" s="15" t="str">
        <f t="shared" si="187"/>
        <v/>
      </c>
      <c r="AA190" s="15" t="str">
        <f t="shared" si="187"/>
        <v/>
      </c>
      <c r="AB190" s="15" t="str">
        <f t="shared" si="187"/>
        <v/>
      </c>
      <c r="AC190" s="15" t="str">
        <f t="shared" si="187"/>
        <v/>
      </c>
      <c r="AD190" s="15" t="str">
        <f t="shared" si="187"/>
        <v/>
      </c>
      <c r="AE190" s="15" t="str">
        <f t="shared" si="187"/>
        <v/>
      </c>
      <c r="AF190" s="15" t="str">
        <f t="shared" si="187"/>
        <v/>
      </c>
      <c r="AG190" s="15" t="str">
        <f t="shared" si="187"/>
        <v/>
      </c>
      <c r="AH190" s="15" t="str">
        <f t="shared" si="187"/>
        <v/>
      </c>
      <c r="AI190" s="15" t="str">
        <f t="shared" si="187"/>
        <v/>
      </c>
      <c r="AJ190" s="15" t="str">
        <f t="shared" si="187"/>
        <v/>
      </c>
      <c r="AK190" s="15" t="str">
        <f t="shared" si="187"/>
        <v/>
      </c>
      <c r="AL190" s="15" t="str">
        <f t="shared" si="187"/>
        <v/>
      </c>
      <c r="AM190" s="15" t="str">
        <f t="shared" si="187"/>
        <v/>
      </c>
      <c r="AN190" s="15" t="str">
        <f t="shared" si="187"/>
        <v/>
      </c>
      <c r="AO190" s="15" t="str">
        <f t="shared" si="187"/>
        <v/>
      </c>
      <c r="AP190" s="15" t="str">
        <f t="shared" si="187"/>
        <v/>
      </c>
      <c r="AQ190" s="15" t="str">
        <f t="shared" si="187"/>
        <v/>
      </c>
      <c r="AR190" s="15" t="str">
        <f t="shared" si="187"/>
        <v/>
      </c>
      <c r="AS190" s="15" t="str">
        <f t="shared" si="187"/>
        <v/>
      </c>
      <c r="AT190" s="15" t="str">
        <f t="shared" si="187"/>
        <v/>
      </c>
      <c r="AU190" s="15" t="str">
        <f t="shared" si="187"/>
        <v/>
      </c>
      <c r="AV190" s="15" t="str">
        <f t="shared" si="187"/>
        <v/>
      </c>
      <c r="AW190" s="15" t="str">
        <f t="shared" si="187"/>
        <v/>
      </c>
      <c r="AX190" s="15" t="str">
        <f t="shared" si="187"/>
        <v/>
      </c>
      <c r="AY190" s="15" t="str">
        <f t="shared" si="187"/>
        <v/>
      </c>
    </row>
    <row r="191" ht="18.0" customHeight="1">
      <c r="A191" s="13" t="str">
        <f t="shared" si="1"/>
        <v/>
      </c>
      <c r="B191" s="13" t="str">
        <f t="shared" si="2"/>
        <v/>
      </c>
      <c r="C191" s="12" t="str">
        <f t="shared" si="3"/>
        <v/>
      </c>
      <c r="D191" s="12" t="str">
        <f t="shared" si="4"/>
        <v/>
      </c>
      <c r="E191" s="12" t="str">
        <f t="shared" si="5"/>
        <v/>
      </c>
      <c r="F191" s="12" t="str">
        <f t="shared" si="6"/>
        <v/>
      </c>
      <c r="G191" s="12" t="str">
        <f t="shared" si="7"/>
        <v/>
      </c>
      <c r="H191" s="12" t="str">
        <f t="shared" si="8"/>
        <v/>
      </c>
      <c r="I191" s="12" t="str">
        <f t="shared" si="9"/>
        <v/>
      </c>
      <c r="J191" s="12" t="str">
        <f t="shared" si="10"/>
        <v/>
      </c>
      <c r="L191" s="15" t="str">
        <f t="shared" ref="L191:AY191" si="188">IF(L$13="","",IF(AND(L$13&gt;$H190,L$13&lt;=$I190),IF(AND(MOD($B$6,2)=1,L$13=ROUNDUP($J190,0)),"0",IF(L$13=INT($H190)+1,ROUNDDOWN(ABS(L$13-$J190),0),IF(L$13=INT($I190),ROUNDUP(ABS(L$13-$J190),0),""))),""))</f>
        <v/>
      </c>
      <c r="M191" s="15" t="str">
        <f t="shared" si="188"/>
        <v/>
      </c>
      <c r="N191" s="15" t="str">
        <f t="shared" si="188"/>
        <v/>
      </c>
      <c r="O191" s="15" t="str">
        <f t="shared" si="188"/>
        <v/>
      </c>
      <c r="P191" s="15" t="str">
        <f t="shared" si="188"/>
        <v/>
      </c>
      <c r="Q191" s="15" t="str">
        <f t="shared" si="188"/>
        <v/>
      </c>
      <c r="R191" s="15" t="str">
        <f t="shared" si="188"/>
        <v/>
      </c>
      <c r="S191" s="15" t="str">
        <f t="shared" si="188"/>
        <v/>
      </c>
      <c r="T191" s="15" t="str">
        <f t="shared" si="188"/>
        <v/>
      </c>
      <c r="U191" s="15" t="str">
        <f t="shared" si="188"/>
        <v/>
      </c>
      <c r="V191" s="15" t="str">
        <f t="shared" si="188"/>
        <v/>
      </c>
      <c r="W191" s="15" t="str">
        <f t="shared" si="188"/>
        <v/>
      </c>
      <c r="X191" s="15" t="str">
        <f t="shared" si="188"/>
        <v/>
      </c>
      <c r="Y191" s="15" t="str">
        <f t="shared" si="188"/>
        <v/>
      </c>
      <c r="Z191" s="15" t="str">
        <f t="shared" si="188"/>
        <v/>
      </c>
      <c r="AA191" s="15" t="str">
        <f t="shared" si="188"/>
        <v/>
      </c>
      <c r="AB191" s="15" t="str">
        <f t="shared" si="188"/>
        <v/>
      </c>
      <c r="AC191" s="15" t="str">
        <f t="shared" si="188"/>
        <v/>
      </c>
      <c r="AD191" s="15" t="str">
        <f t="shared" si="188"/>
        <v/>
      </c>
      <c r="AE191" s="15" t="str">
        <f t="shared" si="188"/>
        <v/>
      </c>
      <c r="AF191" s="15" t="str">
        <f t="shared" si="188"/>
        <v/>
      </c>
      <c r="AG191" s="15" t="str">
        <f t="shared" si="188"/>
        <v/>
      </c>
      <c r="AH191" s="15" t="str">
        <f t="shared" si="188"/>
        <v/>
      </c>
      <c r="AI191" s="15" t="str">
        <f t="shared" si="188"/>
        <v/>
      </c>
      <c r="AJ191" s="15" t="str">
        <f t="shared" si="188"/>
        <v/>
      </c>
      <c r="AK191" s="15" t="str">
        <f t="shared" si="188"/>
        <v/>
      </c>
      <c r="AL191" s="15" t="str">
        <f t="shared" si="188"/>
        <v/>
      </c>
      <c r="AM191" s="15" t="str">
        <f t="shared" si="188"/>
        <v/>
      </c>
      <c r="AN191" s="15" t="str">
        <f t="shared" si="188"/>
        <v/>
      </c>
      <c r="AO191" s="15" t="str">
        <f t="shared" si="188"/>
        <v/>
      </c>
      <c r="AP191" s="15" t="str">
        <f t="shared" si="188"/>
        <v/>
      </c>
      <c r="AQ191" s="15" t="str">
        <f t="shared" si="188"/>
        <v/>
      </c>
      <c r="AR191" s="15" t="str">
        <f t="shared" si="188"/>
        <v/>
      </c>
      <c r="AS191" s="15" t="str">
        <f t="shared" si="188"/>
        <v/>
      </c>
      <c r="AT191" s="15" t="str">
        <f t="shared" si="188"/>
        <v/>
      </c>
      <c r="AU191" s="15" t="str">
        <f t="shared" si="188"/>
        <v/>
      </c>
      <c r="AV191" s="15" t="str">
        <f t="shared" si="188"/>
        <v/>
      </c>
      <c r="AW191" s="15" t="str">
        <f t="shared" si="188"/>
        <v/>
      </c>
      <c r="AX191" s="15" t="str">
        <f t="shared" si="188"/>
        <v/>
      </c>
      <c r="AY191" s="15" t="str">
        <f t="shared" si="188"/>
        <v/>
      </c>
    </row>
    <row r="192" ht="18.0" customHeight="1">
      <c r="A192" s="13" t="str">
        <f t="shared" si="1"/>
        <v/>
      </c>
      <c r="B192" s="13" t="str">
        <f t="shared" si="2"/>
        <v/>
      </c>
      <c r="C192" s="12" t="str">
        <f t="shared" si="3"/>
        <v/>
      </c>
      <c r="D192" s="12" t="str">
        <f t="shared" si="4"/>
        <v/>
      </c>
      <c r="E192" s="12" t="str">
        <f t="shared" si="5"/>
        <v/>
      </c>
      <c r="F192" s="12" t="str">
        <f t="shared" si="6"/>
        <v/>
      </c>
      <c r="G192" s="12" t="str">
        <f t="shared" si="7"/>
        <v/>
      </c>
      <c r="H192" s="12" t="str">
        <f t="shared" si="8"/>
        <v/>
      </c>
      <c r="I192" s="12" t="str">
        <f t="shared" si="9"/>
        <v/>
      </c>
      <c r="J192" s="12" t="str">
        <f t="shared" si="10"/>
        <v/>
      </c>
      <c r="L192" s="15" t="str">
        <f t="shared" ref="L192:AY192" si="189">IF(L$13="","",IF(AND(L$13&gt;$H191,L$13&lt;=$I191),IF(AND(MOD($B$6,2)=1,L$13=ROUNDUP($J191,0)),"0",IF(L$13=INT($H191)+1,ROUNDDOWN(ABS(L$13-$J191),0),IF(L$13=INT($I191),ROUNDUP(ABS(L$13-$J191),0),""))),""))</f>
        <v/>
      </c>
      <c r="M192" s="15" t="str">
        <f t="shared" si="189"/>
        <v/>
      </c>
      <c r="N192" s="15" t="str">
        <f t="shared" si="189"/>
        <v/>
      </c>
      <c r="O192" s="15" t="str">
        <f t="shared" si="189"/>
        <v/>
      </c>
      <c r="P192" s="15" t="str">
        <f t="shared" si="189"/>
        <v/>
      </c>
      <c r="Q192" s="15" t="str">
        <f t="shared" si="189"/>
        <v/>
      </c>
      <c r="R192" s="15" t="str">
        <f t="shared" si="189"/>
        <v/>
      </c>
      <c r="S192" s="15" t="str">
        <f t="shared" si="189"/>
        <v/>
      </c>
      <c r="T192" s="15" t="str">
        <f t="shared" si="189"/>
        <v/>
      </c>
      <c r="U192" s="15" t="str">
        <f t="shared" si="189"/>
        <v/>
      </c>
      <c r="V192" s="15" t="str">
        <f t="shared" si="189"/>
        <v/>
      </c>
      <c r="W192" s="15" t="str">
        <f t="shared" si="189"/>
        <v/>
      </c>
      <c r="X192" s="15" t="str">
        <f t="shared" si="189"/>
        <v/>
      </c>
      <c r="Y192" s="15" t="str">
        <f t="shared" si="189"/>
        <v/>
      </c>
      <c r="Z192" s="15" t="str">
        <f t="shared" si="189"/>
        <v/>
      </c>
      <c r="AA192" s="15" t="str">
        <f t="shared" si="189"/>
        <v/>
      </c>
      <c r="AB192" s="15" t="str">
        <f t="shared" si="189"/>
        <v/>
      </c>
      <c r="AC192" s="15" t="str">
        <f t="shared" si="189"/>
        <v/>
      </c>
      <c r="AD192" s="15" t="str">
        <f t="shared" si="189"/>
        <v/>
      </c>
      <c r="AE192" s="15" t="str">
        <f t="shared" si="189"/>
        <v/>
      </c>
      <c r="AF192" s="15" t="str">
        <f t="shared" si="189"/>
        <v/>
      </c>
      <c r="AG192" s="15" t="str">
        <f t="shared" si="189"/>
        <v/>
      </c>
      <c r="AH192" s="15" t="str">
        <f t="shared" si="189"/>
        <v/>
      </c>
      <c r="AI192" s="15" t="str">
        <f t="shared" si="189"/>
        <v/>
      </c>
      <c r="AJ192" s="15" t="str">
        <f t="shared" si="189"/>
        <v/>
      </c>
      <c r="AK192" s="15" t="str">
        <f t="shared" si="189"/>
        <v/>
      </c>
      <c r="AL192" s="15" t="str">
        <f t="shared" si="189"/>
        <v/>
      </c>
      <c r="AM192" s="15" t="str">
        <f t="shared" si="189"/>
        <v/>
      </c>
      <c r="AN192" s="15" t="str">
        <f t="shared" si="189"/>
        <v/>
      </c>
      <c r="AO192" s="15" t="str">
        <f t="shared" si="189"/>
        <v/>
      </c>
      <c r="AP192" s="15" t="str">
        <f t="shared" si="189"/>
        <v/>
      </c>
      <c r="AQ192" s="15" t="str">
        <f t="shared" si="189"/>
        <v/>
      </c>
      <c r="AR192" s="15" t="str">
        <f t="shared" si="189"/>
        <v/>
      </c>
      <c r="AS192" s="15" t="str">
        <f t="shared" si="189"/>
        <v/>
      </c>
      <c r="AT192" s="15" t="str">
        <f t="shared" si="189"/>
        <v/>
      </c>
      <c r="AU192" s="15" t="str">
        <f t="shared" si="189"/>
        <v/>
      </c>
      <c r="AV192" s="15" t="str">
        <f t="shared" si="189"/>
        <v/>
      </c>
      <c r="AW192" s="15" t="str">
        <f t="shared" si="189"/>
        <v/>
      </c>
      <c r="AX192" s="15" t="str">
        <f t="shared" si="189"/>
        <v/>
      </c>
      <c r="AY192" s="15" t="str">
        <f t="shared" si="189"/>
        <v/>
      </c>
    </row>
    <row r="193" ht="18.0" customHeight="1">
      <c r="A193" s="13" t="str">
        <f t="shared" si="1"/>
        <v/>
      </c>
      <c r="B193" s="13" t="str">
        <f t="shared" si="2"/>
        <v/>
      </c>
      <c r="C193" s="12" t="str">
        <f t="shared" si="3"/>
        <v/>
      </c>
      <c r="D193" s="12" t="str">
        <f t="shared" si="4"/>
        <v/>
      </c>
      <c r="E193" s="12" t="str">
        <f t="shared" si="5"/>
        <v/>
      </c>
      <c r="F193" s="12" t="str">
        <f t="shared" si="6"/>
        <v/>
      </c>
      <c r="G193" s="12" t="str">
        <f t="shared" si="7"/>
        <v/>
      </c>
      <c r="H193" s="12" t="str">
        <f t="shared" si="8"/>
        <v/>
      </c>
      <c r="I193" s="12" t="str">
        <f t="shared" si="9"/>
        <v/>
      </c>
      <c r="J193" s="12" t="str">
        <f t="shared" si="10"/>
        <v/>
      </c>
      <c r="L193" s="15" t="str">
        <f t="shared" ref="L193:AY193" si="190">IF(L$13="","",IF(AND(L$13&gt;$H192,L$13&lt;=$I192),IF(AND(MOD($B$6,2)=1,L$13=ROUNDUP($J192,0)),"0",IF(L$13=INT($H192)+1,ROUNDDOWN(ABS(L$13-$J192),0),IF(L$13=INT($I192),ROUNDUP(ABS(L$13-$J192),0),""))),""))</f>
        <v/>
      </c>
      <c r="M193" s="15" t="str">
        <f t="shared" si="190"/>
        <v/>
      </c>
      <c r="N193" s="15" t="str">
        <f t="shared" si="190"/>
        <v/>
      </c>
      <c r="O193" s="15" t="str">
        <f t="shared" si="190"/>
        <v/>
      </c>
      <c r="P193" s="15" t="str">
        <f t="shared" si="190"/>
        <v/>
      </c>
      <c r="Q193" s="15" t="str">
        <f t="shared" si="190"/>
        <v/>
      </c>
      <c r="R193" s="15" t="str">
        <f t="shared" si="190"/>
        <v/>
      </c>
      <c r="S193" s="15" t="str">
        <f t="shared" si="190"/>
        <v/>
      </c>
      <c r="T193" s="15" t="str">
        <f t="shared" si="190"/>
        <v/>
      </c>
      <c r="U193" s="15" t="str">
        <f t="shared" si="190"/>
        <v/>
      </c>
      <c r="V193" s="15" t="str">
        <f t="shared" si="190"/>
        <v/>
      </c>
      <c r="W193" s="15" t="str">
        <f t="shared" si="190"/>
        <v/>
      </c>
      <c r="X193" s="15" t="str">
        <f t="shared" si="190"/>
        <v/>
      </c>
      <c r="Y193" s="15" t="str">
        <f t="shared" si="190"/>
        <v/>
      </c>
      <c r="Z193" s="15" t="str">
        <f t="shared" si="190"/>
        <v/>
      </c>
      <c r="AA193" s="15" t="str">
        <f t="shared" si="190"/>
        <v/>
      </c>
      <c r="AB193" s="15" t="str">
        <f t="shared" si="190"/>
        <v/>
      </c>
      <c r="AC193" s="15" t="str">
        <f t="shared" si="190"/>
        <v/>
      </c>
      <c r="AD193" s="15" t="str">
        <f t="shared" si="190"/>
        <v/>
      </c>
      <c r="AE193" s="15" t="str">
        <f t="shared" si="190"/>
        <v/>
      </c>
      <c r="AF193" s="15" t="str">
        <f t="shared" si="190"/>
        <v/>
      </c>
      <c r="AG193" s="15" t="str">
        <f t="shared" si="190"/>
        <v/>
      </c>
      <c r="AH193" s="15" t="str">
        <f t="shared" si="190"/>
        <v/>
      </c>
      <c r="AI193" s="15" t="str">
        <f t="shared" si="190"/>
        <v/>
      </c>
      <c r="AJ193" s="15" t="str">
        <f t="shared" si="190"/>
        <v/>
      </c>
      <c r="AK193" s="15" t="str">
        <f t="shared" si="190"/>
        <v/>
      </c>
      <c r="AL193" s="15" t="str">
        <f t="shared" si="190"/>
        <v/>
      </c>
      <c r="AM193" s="15" t="str">
        <f t="shared" si="190"/>
        <v/>
      </c>
      <c r="AN193" s="15" t="str">
        <f t="shared" si="190"/>
        <v/>
      </c>
      <c r="AO193" s="15" t="str">
        <f t="shared" si="190"/>
        <v/>
      </c>
      <c r="AP193" s="15" t="str">
        <f t="shared" si="190"/>
        <v/>
      </c>
      <c r="AQ193" s="15" t="str">
        <f t="shared" si="190"/>
        <v/>
      </c>
      <c r="AR193" s="15" t="str">
        <f t="shared" si="190"/>
        <v/>
      </c>
      <c r="AS193" s="15" t="str">
        <f t="shared" si="190"/>
        <v/>
      </c>
      <c r="AT193" s="15" t="str">
        <f t="shared" si="190"/>
        <v/>
      </c>
      <c r="AU193" s="15" t="str">
        <f t="shared" si="190"/>
        <v/>
      </c>
      <c r="AV193" s="15" t="str">
        <f t="shared" si="190"/>
        <v/>
      </c>
      <c r="AW193" s="15" t="str">
        <f t="shared" si="190"/>
        <v/>
      </c>
      <c r="AX193" s="15" t="str">
        <f t="shared" si="190"/>
        <v/>
      </c>
      <c r="AY193" s="15" t="str">
        <f t="shared" si="190"/>
        <v/>
      </c>
    </row>
    <row r="194" ht="18.0" customHeight="1">
      <c r="A194" s="13" t="str">
        <f t="shared" si="1"/>
        <v/>
      </c>
      <c r="B194" s="13" t="str">
        <f t="shared" si="2"/>
        <v/>
      </c>
      <c r="C194" s="12" t="str">
        <f t="shared" si="3"/>
        <v/>
      </c>
      <c r="D194" s="12" t="str">
        <f t="shared" si="4"/>
        <v/>
      </c>
      <c r="E194" s="12" t="str">
        <f t="shared" si="5"/>
        <v/>
      </c>
      <c r="F194" s="12" t="str">
        <f t="shared" si="6"/>
        <v/>
      </c>
      <c r="G194" s="12" t="str">
        <f t="shared" si="7"/>
        <v/>
      </c>
      <c r="H194" s="12" t="str">
        <f t="shared" si="8"/>
        <v/>
      </c>
      <c r="I194" s="12" t="str">
        <f t="shared" si="9"/>
        <v/>
      </c>
      <c r="J194" s="12" t="str">
        <f t="shared" si="10"/>
        <v/>
      </c>
      <c r="L194" s="15" t="str">
        <f t="shared" ref="L194:AY194" si="191">IF(L$13="","",IF(AND(L$13&gt;$H193,L$13&lt;=$I193),IF(AND(MOD($B$6,2)=1,L$13=ROUNDUP($J193,0)),"0",IF(L$13=INT($H193)+1,ROUNDDOWN(ABS(L$13-$J193),0),IF(L$13=INT($I193),ROUNDUP(ABS(L$13-$J193),0),""))),""))</f>
        <v/>
      </c>
      <c r="M194" s="15" t="str">
        <f t="shared" si="191"/>
        <v/>
      </c>
      <c r="N194" s="15" t="str">
        <f t="shared" si="191"/>
        <v/>
      </c>
      <c r="O194" s="15" t="str">
        <f t="shared" si="191"/>
        <v/>
      </c>
      <c r="P194" s="15" t="str">
        <f t="shared" si="191"/>
        <v/>
      </c>
      <c r="Q194" s="15" t="str">
        <f t="shared" si="191"/>
        <v/>
      </c>
      <c r="R194" s="15" t="str">
        <f t="shared" si="191"/>
        <v/>
      </c>
      <c r="S194" s="15" t="str">
        <f t="shared" si="191"/>
        <v/>
      </c>
      <c r="T194" s="15" t="str">
        <f t="shared" si="191"/>
        <v/>
      </c>
      <c r="U194" s="15" t="str">
        <f t="shared" si="191"/>
        <v/>
      </c>
      <c r="V194" s="15" t="str">
        <f t="shared" si="191"/>
        <v/>
      </c>
      <c r="W194" s="15" t="str">
        <f t="shared" si="191"/>
        <v/>
      </c>
      <c r="X194" s="15" t="str">
        <f t="shared" si="191"/>
        <v/>
      </c>
      <c r="Y194" s="15" t="str">
        <f t="shared" si="191"/>
        <v/>
      </c>
      <c r="Z194" s="15" t="str">
        <f t="shared" si="191"/>
        <v/>
      </c>
      <c r="AA194" s="15" t="str">
        <f t="shared" si="191"/>
        <v/>
      </c>
      <c r="AB194" s="15" t="str">
        <f t="shared" si="191"/>
        <v/>
      </c>
      <c r="AC194" s="15" t="str">
        <f t="shared" si="191"/>
        <v/>
      </c>
      <c r="AD194" s="15" t="str">
        <f t="shared" si="191"/>
        <v/>
      </c>
      <c r="AE194" s="15" t="str">
        <f t="shared" si="191"/>
        <v/>
      </c>
      <c r="AF194" s="15" t="str">
        <f t="shared" si="191"/>
        <v/>
      </c>
      <c r="AG194" s="15" t="str">
        <f t="shared" si="191"/>
        <v/>
      </c>
      <c r="AH194" s="15" t="str">
        <f t="shared" si="191"/>
        <v/>
      </c>
      <c r="AI194" s="15" t="str">
        <f t="shared" si="191"/>
        <v/>
      </c>
      <c r="AJ194" s="15" t="str">
        <f t="shared" si="191"/>
        <v/>
      </c>
      <c r="AK194" s="15" t="str">
        <f t="shared" si="191"/>
        <v/>
      </c>
      <c r="AL194" s="15" t="str">
        <f t="shared" si="191"/>
        <v/>
      </c>
      <c r="AM194" s="15" t="str">
        <f t="shared" si="191"/>
        <v/>
      </c>
      <c r="AN194" s="15" t="str">
        <f t="shared" si="191"/>
        <v/>
      </c>
      <c r="AO194" s="15" t="str">
        <f t="shared" si="191"/>
        <v/>
      </c>
      <c r="AP194" s="15" t="str">
        <f t="shared" si="191"/>
        <v/>
      </c>
      <c r="AQ194" s="15" t="str">
        <f t="shared" si="191"/>
        <v/>
      </c>
      <c r="AR194" s="15" t="str">
        <f t="shared" si="191"/>
        <v/>
      </c>
      <c r="AS194" s="15" t="str">
        <f t="shared" si="191"/>
        <v/>
      </c>
      <c r="AT194" s="15" t="str">
        <f t="shared" si="191"/>
        <v/>
      </c>
      <c r="AU194" s="15" t="str">
        <f t="shared" si="191"/>
        <v/>
      </c>
      <c r="AV194" s="15" t="str">
        <f t="shared" si="191"/>
        <v/>
      </c>
      <c r="AW194" s="15" t="str">
        <f t="shared" si="191"/>
        <v/>
      </c>
      <c r="AX194" s="15" t="str">
        <f t="shared" si="191"/>
        <v/>
      </c>
      <c r="AY194" s="15" t="str">
        <f t="shared" si="191"/>
        <v/>
      </c>
    </row>
    <row r="195" ht="18.0" customHeight="1">
      <c r="A195" s="13" t="str">
        <f t="shared" si="1"/>
        <v/>
      </c>
      <c r="B195" s="13" t="str">
        <f t="shared" si="2"/>
        <v/>
      </c>
      <c r="C195" s="12" t="str">
        <f t="shared" si="3"/>
        <v/>
      </c>
      <c r="D195" s="12" t="str">
        <f t="shared" si="4"/>
        <v/>
      </c>
      <c r="E195" s="12" t="str">
        <f t="shared" si="5"/>
        <v/>
      </c>
      <c r="F195" s="12" t="str">
        <f t="shared" si="6"/>
        <v/>
      </c>
      <c r="G195" s="12" t="str">
        <f t="shared" si="7"/>
        <v/>
      </c>
      <c r="H195" s="12" t="str">
        <f t="shared" si="8"/>
        <v/>
      </c>
      <c r="I195" s="12" t="str">
        <f t="shared" si="9"/>
        <v/>
      </c>
      <c r="J195" s="12" t="str">
        <f t="shared" si="10"/>
        <v/>
      </c>
      <c r="L195" s="15" t="str">
        <f t="shared" ref="L195:AY195" si="192">IF(L$13="","",IF(AND(L$13&gt;$H194,L$13&lt;=$I194),IF(AND(MOD($B$6,2)=1,L$13=ROUNDUP($J194,0)),"0",IF(L$13=INT($H194)+1,ROUNDDOWN(ABS(L$13-$J194),0),IF(L$13=INT($I194),ROUNDUP(ABS(L$13-$J194),0),""))),""))</f>
        <v/>
      </c>
      <c r="M195" s="15" t="str">
        <f t="shared" si="192"/>
        <v/>
      </c>
      <c r="N195" s="15" t="str">
        <f t="shared" si="192"/>
        <v/>
      </c>
      <c r="O195" s="15" t="str">
        <f t="shared" si="192"/>
        <v/>
      </c>
      <c r="P195" s="15" t="str">
        <f t="shared" si="192"/>
        <v/>
      </c>
      <c r="Q195" s="15" t="str">
        <f t="shared" si="192"/>
        <v/>
      </c>
      <c r="R195" s="15" t="str">
        <f t="shared" si="192"/>
        <v/>
      </c>
      <c r="S195" s="15" t="str">
        <f t="shared" si="192"/>
        <v/>
      </c>
      <c r="T195" s="15" t="str">
        <f t="shared" si="192"/>
        <v/>
      </c>
      <c r="U195" s="15" t="str">
        <f t="shared" si="192"/>
        <v/>
      </c>
      <c r="V195" s="15" t="str">
        <f t="shared" si="192"/>
        <v/>
      </c>
      <c r="W195" s="15" t="str">
        <f t="shared" si="192"/>
        <v/>
      </c>
      <c r="X195" s="15" t="str">
        <f t="shared" si="192"/>
        <v/>
      </c>
      <c r="Y195" s="15" t="str">
        <f t="shared" si="192"/>
        <v/>
      </c>
      <c r="Z195" s="15" t="str">
        <f t="shared" si="192"/>
        <v/>
      </c>
      <c r="AA195" s="15" t="str">
        <f t="shared" si="192"/>
        <v/>
      </c>
      <c r="AB195" s="15" t="str">
        <f t="shared" si="192"/>
        <v/>
      </c>
      <c r="AC195" s="15" t="str">
        <f t="shared" si="192"/>
        <v/>
      </c>
      <c r="AD195" s="15" t="str">
        <f t="shared" si="192"/>
        <v/>
      </c>
      <c r="AE195" s="15" t="str">
        <f t="shared" si="192"/>
        <v/>
      </c>
      <c r="AF195" s="15" t="str">
        <f t="shared" si="192"/>
        <v/>
      </c>
      <c r="AG195" s="15" t="str">
        <f t="shared" si="192"/>
        <v/>
      </c>
      <c r="AH195" s="15" t="str">
        <f t="shared" si="192"/>
        <v/>
      </c>
      <c r="AI195" s="15" t="str">
        <f t="shared" si="192"/>
        <v/>
      </c>
      <c r="AJ195" s="15" t="str">
        <f t="shared" si="192"/>
        <v/>
      </c>
      <c r="AK195" s="15" t="str">
        <f t="shared" si="192"/>
        <v/>
      </c>
      <c r="AL195" s="15" t="str">
        <f t="shared" si="192"/>
        <v/>
      </c>
      <c r="AM195" s="15" t="str">
        <f t="shared" si="192"/>
        <v/>
      </c>
      <c r="AN195" s="15" t="str">
        <f t="shared" si="192"/>
        <v/>
      </c>
      <c r="AO195" s="15" t="str">
        <f t="shared" si="192"/>
        <v/>
      </c>
      <c r="AP195" s="15" t="str">
        <f t="shared" si="192"/>
        <v/>
      </c>
      <c r="AQ195" s="15" t="str">
        <f t="shared" si="192"/>
        <v/>
      </c>
      <c r="AR195" s="15" t="str">
        <f t="shared" si="192"/>
        <v/>
      </c>
      <c r="AS195" s="15" t="str">
        <f t="shared" si="192"/>
        <v/>
      </c>
      <c r="AT195" s="15" t="str">
        <f t="shared" si="192"/>
        <v/>
      </c>
      <c r="AU195" s="15" t="str">
        <f t="shared" si="192"/>
        <v/>
      </c>
      <c r="AV195" s="15" t="str">
        <f t="shared" si="192"/>
        <v/>
      </c>
      <c r="AW195" s="15" t="str">
        <f t="shared" si="192"/>
        <v/>
      </c>
      <c r="AX195" s="15" t="str">
        <f t="shared" si="192"/>
        <v/>
      </c>
      <c r="AY195" s="15" t="str">
        <f t="shared" si="192"/>
        <v/>
      </c>
    </row>
    <row r="196" ht="18.0" customHeight="1">
      <c r="A196" s="13" t="str">
        <f t="shared" si="1"/>
        <v/>
      </c>
      <c r="B196" s="13" t="str">
        <f t="shared" si="2"/>
        <v/>
      </c>
      <c r="C196" s="12" t="str">
        <f t="shared" si="3"/>
        <v/>
      </c>
      <c r="D196" s="12" t="str">
        <f t="shared" si="4"/>
        <v/>
      </c>
      <c r="E196" s="12" t="str">
        <f t="shared" si="5"/>
        <v/>
      </c>
      <c r="F196" s="12" t="str">
        <f t="shared" si="6"/>
        <v/>
      </c>
      <c r="G196" s="12" t="str">
        <f t="shared" si="7"/>
        <v/>
      </c>
      <c r="H196" s="12" t="str">
        <f t="shared" si="8"/>
        <v/>
      </c>
      <c r="I196" s="12" t="str">
        <f t="shared" si="9"/>
        <v/>
      </c>
      <c r="J196" s="12" t="str">
        <f t="shared" si="10"/>
        <v/>
      </c>
      <c r="L196" s="15" t="str">
        <f t="shared" ref="L196:AY196" si="193">IF(L$13="","",IF(AND(L$13&gt;$H195,L$13&lt;=$I195),IF(AND(MOD($B$6,2)=1,L$13=ROUNDUP($J195,0)),"0",IF(L$13=INT($H195)+1,ROUNDDOWN(ABS(L$13-$J195),0),IF(L$13=INT($I195),ROUNDUP(ABS(L$13-$J195),0),""))),""))</f>
        <v/>
      </c>
      <c r="M196" s="15" t="str">
        <f t="shared" si="193"/>
        <v/>
      </c>
      <c r="N196" s="15" t="str">
        <f t="shared" si="193"/>
        <v/>
      </c>
      <c r="O196" s="15" t="str">
        <f t="shared" si="193"/>
        <v/>
      </c>
      <c r="P196" s="15" t="str">
        <f t="shared" si="193"/>
        <v/>
      </c>
      <c r="Q196" s="15" t="str">
        <f t="shared" si="193"/>
        <v/>
      </c>
      <c r="R196" s="15" t="str">
        <f t="shared" si="193"/>
        <v/>
      </c>
      <c r="S196" s="15" t="str">
        <f t="shared" si="193"/>
        <v/>
      </c>
      <c r="T196" s="15" t="str">
        <f t="shared" si="193"/>
        <v/>
      </c>
      <c r="U196" s="15" t="str">
        <f t="shared" si="193"/>
        <v/>
      </c>
      <c r="V196" s="15" t="str">
        <f t="shared" si="193"/>
        <v/>
      </c>
      <c r="W196" s="15" t="str">
        <f t="shared" si="193"/>
        <v/>
      </c>
      <c r="X196" s="15" t="str">
        <f t="shared" si="193"/>
        <v/>
      </c>
      <c r="Y196" s="15" t="str">
        <f t="shared" si="193"/>
        <v/>
      </c>
      <c r="Z196" s="15" t="str">
        <f t="shared" si="193"/>
        <v/>
      </c>
      <c r="AA196" s="15" t="str">
        <f t="shared" si="193"/>
        <v/>
      </c>
      <c r="AB196" s="15" t="str">
        <f t="shared" si="193"/>
        <v/>
      </c>
      <c r="AC196" s="15" t="str">
        <f t="shared" si="193"/>
        <v/>
      </c>
      <c r="AD196" s="15" t="str">
        <f t="shared" si="193"/>
        <v/>
      </c>
      <c r="AE196" s="15" t="str">
        <f t="shared" si="193"/>
        <v/>
      </c>
      <c r="AF196" s="15" t="str">
        <f t="shared" si="193"/>
        <v/>
      </c>
      <c r="AG196" s="15" t="str">
        <f t="shared" si="193"/>
        <v/>
      </c>
      <c r="AH196" s="15" t="str">
        <f t="shared" si="193"/>
        <v/>
      </c>
      <c r="AI196" s="15" t="str">
        <f t="shared" si="193"/>
        <v/>
      </c>
      <c r="AJ196" s="15" t="str">
        <f t="shared" si="193"/>
        <v/>
      </c>
      <c r="AK196" s="15" t="str">
        <f t="shared" si="193"/>
        <v/>
      </c>
      <c r="AL196" s="15" t="str">
        <f t="shared" si="193"/>
        <v/>
      </c>
      <c r="AM196" s="15" t="str">
        <f t="shared" si="193"/>
        <v/>
      </c>
      <c r="AN196" s="15" t="str">
        <f t="shared" si="193"/>
        <v/>
      </c>
      <c r="AO196" s="15" t="str">
        <f t="shared" si="193"/>
        <v/>
      </c>
      <c r="AP196" s="15" t="str">
        <f t="shared" si="193"/>
        <v/>
      </c>
      <c r="AQ196" s="15" t="str">
        <f t="shared" si="193"/>
        <v/>
      </c>
      <c r="AR196" s="15" t="str">
        <f t="shared" si="193"/>
        <v/>
      </c>
      <c r="AS196" s="15" t="str">
        <f t="shared" si="193"/>
        <v/>
      </c>
      <c r="AT196" s="15" t="str">
        <f t="shared" si="193"/>
        <v/>
      </c>
      <c r="AU196" s="15" t="str">
        <f t="shared" si="193"/>
        <v/>
      </c>
      <c r="AV196" s="15" t="str">
        <f t="shared" si="193"/>
        <v/>
      </c>
      <c r="AW196" s="15" t="str">
        <f t="shared" si="193"/>
        <v/>
      </c>
      <c r="AX196" s="15" t="str">
        <f t="shared" si="193"/>
        <v/>
      </c>
      <c r="AY196" s="15" t="str">
        <f t="shared" si="193"/>
        <v/>
      </c>
    </row>
    <row r="197" ht="18.0" customHeight="1">
      <c r="A197" s="13" t="str">
        <f t="shared" si="1"/>
        <v/>
      </c>
      <c r="B197" s="13" t="str">
        <f t="shared" si="2"/>
        <v/>
      </c>
      <c r="C197" s="12" t="str">
        <f t="shared" si="3"/>
        <v/>
      </c>
      <c r="D197" s="12" t="str">
        <f t="shared" si="4"/>
        <v/>
      </c>
      <c r="E197" s="12" t="str">
        <f t="shared" si="5"/>
        <v/>
      </c>
      <c r="F197" s="12" t="str">
        <f t="shared" si="6"/>
        <v/>
      </c>
      <c r="G197" s="12" t="str">
        <f t="shared" si="7"/>
        <v/>
      </c>
      <c r="H197" s="12" t="str">
        <f t="shared" si="8"/>
        <v/>
      </c>
      <c r="I197" s="12" t="str">
        <f t="shared" si="9"/>
        <v/>
      </c>
      <c r="J197" s="12" t="str">
        <f t="shared" si="10"/>
        <v/>
      </c>
      <c r="L197" s="15" t="str">
        <f t="shared" ref="L197:AY197" si="194">IF(L$13="","",IF(AND(L$13&gt;$H196,L$13&lt;=$I196),IF(AND(MOD($B$6,2)=1,L$13=ROUNDUP($J196,0)),"0",IF(L$13=INT($H196)+1,ROUNDDOWN(ABS(L$13-$J196),0),IF(L$13=INT($I196),ROUNDUP(ABS(L$13-$J196),0),""))),""))</f>
        <v/>
      </c>
      <c r="M197" s="15" t="str">
        <f t="shared" si="194"/>
        <v/>
      </c>
      <c r="N197" s="15" t="str">
        <f t="shared" si="194"/>
        <v/>
      </c>
      <c r="O197" s="15" t="str">
        <f t="shared" si="194"/>
        <v/>
      </c>
      <c r="P197" s="15" t="str">
        <f t="shared" si="194"/>
        <v/>
      </c>
      <c r="Q197" s="15" t="str">
        <f t="shared" si="194"/>
        <v/>
      </c>
      <c r="R197" s="15" t="str">
        <f t="shared" si="194"/>
        <v/>
      </c>
      <c r="S197" s="15" t="str">
        <f t="shared" si="194"/>
        <v/>
      </c>
      <c r="T197" s="15" t="str">
        <f t="shared" si="194"/>
        <v/>
      </c>
      <c r="U197" s="15" t="str">
        <f t="shared" si="194"/>
        <v/>
      </c>
      <c r="V197" s="15" t="str">
        <f t="shared" si="194"/>
        <v/>
      </c>
      <c r="W197" s="15" t="str">
        <f t="shared" si="194"/>
        <v/>
      </c>
      <c r="X197" s="15" t="str">
        <f t="shared" si="194"/>
        <v/>
      </c>
      <c r="Y197" s="15" t="str">
        <f t="shared" si="194"/>
        <v/>
      </c>
      <c r="Z197" s="15" t="str">
        <f t="shared" si="194"/>
        <v/>
      </c>
      <c r="AA197" s="15" t="str">
        <f t="shared" si="194"/>
        <v/>
      </c>
      <c r="AB197" s="15" t="str">
        <f t="shared" si="194"/>
        <v/>
      </c>
      <c r="AC197" s="15" t="str">
        <f t="shared" si="194"/>
        <v/>
      </c>
      <c r="AD197" s="15" t="str">
        <f t="shared" si="194"/>
        <v/>
      </c>
      <c r="AE197" s="15" t="str">
        <f t="shared" si="194"/>
        <v/>
      </c>
      <c r="AF197" s="15" t="str">
        <f t="shared" si="194"/>
        <v/>
      </c>
      <c r="AG197" s="15" t="str">
        <f t="shared" si="194"/>
        <v/>
      </c>
      <c r="AH197" s="15" t="str">
        <f t="shared" si="194"/>
        <v/>
      </c>
      <c r="AI197" s="15" t="str">
        <f t="shared" si="194"/>
        <v/>
      </c>
      <c r="AJ197" s="15" t="str">
        <f t="shared" si="194"/>
        <v/>
      </c>
      <c r="AK197" s="15" t="str">
        <f t="shared" si="194"/>
        <v/>
      </c>
      <c r="AL197" s="15" t="str">
        <f t="shared" si="194"/>
        <v/>
      </c>
      <c r="AM197" s="15" t="str">
        <f t="shared" si="194"/>
        <v/>
      </c>
      <c r="AN197" s="15" t="str">
        <f t="shared" si="194"/>
        <v/>
      </c>
      <c r="AO197" s="15" t="str">
        <f t="shared" si="194"/>
        <v/>
      </c>
      <c r="AP197" s="15" t="str">
        <f t="shared" si="194"/>
        <v/>
      </c>
      <c r="AQ197" s="15" t="str">
        <f t="shared" si="194"/>
        <v/>
      </c>
      <c r="AR197" s="15" t="str">
        <f t="shared" si="194"/>
        <v/>
      </c>
      <c r="AS197" s="15" t="str">
        <f t="shared" si="194"/>
        <v/>
      </c>
      <c r="AT197" s="15" t="str">
        <f t="shared" si="194"/>
        <v/>
      </c>
      <c r="AU197" s="15" t="str">
        <f t="shared" si="194"/>
        <v/>
      </c>
      <c r="AV197" s="15" t="str">
        <f t="shared" si="194"/>
        <v/>
      </c>
      <c r="AW197" s="15" t="str">
        <f t="shared" si="194"/>
        <v/>
      </c>
      <c r="AX197" s="15" t="str">
        <f t="shared" si="194"/>
        <v/>
      </c>
      <c r="AY197" s="15" t="str">
        <f t="shared" si="194"/>
        <v/>
      </c>
    </row>
    <row r="198" ht="18.0" customHeight="1">
      <c r="A198" s="13" t="str">
        <f t="shared" si="1"/>
        <v/>
      </c>
      <c r="B198" s="13" t="str">
        <f t="shared" si="2"/>
        <v/>
      </c>
      <c r="C198" s="12" t="str">
        <f t="shared" si="3"/>
        <v/>
      </c>
      <c r="D198" s="12" t="str">
        <f t="shared" si="4"/>
        <v/>
      </c>
      <c r="E198" s="12" t="str">
        <f t="shared" si="5"/>
        <v/>
      </c>
      <c r="F198" s="12" t="str">
        <f t="shared" si="6"/>
        <v/>
      </c>
      <c r="G198" s="12" t="str">
        <f t="shared" si="7"/>
        <v/>
      </c>
      <c r="H198" s="12" t="str">
        <f t="shared" si="8"/>
        <v/>
      </c>
      <c r="I198" s="12" t="str">
        <f t="shared" si="9"/>
        <v/>
      </c>
      <c r="J198" s="12" t="str">
        <f t="shared" si="10"/>
        <v/>
      </c>
      <c r="L198" s="15" t="str">
        <f t="shared" ref="L198:AY198" si="195">IF(L$13="","",IF(AND(L$13&gt;$H197,L$13&lt;=$I197),IF(AND(MOD($B$6,2)=1,L$13=ROUNDUP($J197,0)),"0",IF(L$13=INT($H197)+1,ROUNDDOWN(ABS(L$13-$J197),0),IF(L$13=INT($I197),ROUNDUP(ABS(L$13-$J197),0),""))),""))</f>
        <v/>
      </c>
      <c r="M198" s="15" t="str">
        <f t="shared" si="195"/>
        <v/>
      </c>
      <c r="N198" s="15" t="str">
        <f t="shared" si="195"/>
        <v/>
      </c>
      <c r="O198" s="15" t="str">
        <f t="shared" si="195"/>
        <v/>
      </c>
      <c r="P198" s="15" t="str">
        <f t="shared" si="195"/>
        <v/>
      </c>
      <c r="Q198" s="15" t="str">
        <f t="shared" si="195"/>
        <v/>
      </c>
      <c r="R198" s="15" t="str">
        <f t="shared" si="195"/>
        <v/>
      </c>
      <c r="S198" s="15" t="str">
        <f t="shared" si="195"/>
        <v/>
      </c>
      <c r="T198" s="15" t="str">
        <f t="shared" si="195"/>
        <v/>
      </c>
      <c r="U198" s="15" t="str">
        <f t="shared" si="195"/>
        <v/>
      </c>
      <c r="V198" s="15" t="str">
        <f t="shared" si="195"/>
        <v/>
      </c>
      <c r="W198" s="15" t="str">
        <f t="shared" si="195"/>
        <v/>
      </c>
      <c r="X198" s="15" t="str">
        <f t="shared" si="195"/>
        <v/>
      </c>
      <c r="Y198" s="15" t="str">
        <f t="shared" si="195"/>
        <v/>
      </c>
      <c r="Z198" s="15" t="str">
        <f t="shared" si="195"/>
        <v/>
      </c>
      <c r="AA198" s="15" t="str">
        <f t="shared" si="195"/>
        <v/>
      </c>
      <c r="AB198" s="15" t="str">
        <f t="shared" si="195"/>
        <v/>
      </c>
      <c r="AC198" s="15" t="str">
        <f t="shared" si="195"/>
        <v/>
      </c>
      <c r="AD198" s="15" t="str">
        <f t="shared" si="195"/>
        <v/>
      </c>
      <c r="AE198" s="15" t="str">
        <f t="shared" si="195"/>
        <v/>
      </c>
      <c r="AF198" s="15" t="str">
        <f t="shared" si="195"/>
        <v/>
      </c>
      <c r="AG198" s="15" t="str">
        <f t="shared" si="195"/>
        <v/>
      </c>
      <c r="AH198" s="15" t="str">
        <f t="shared" si="195"/>
        <v/>
      </c>
      <c r="AI198" s="15" t="str">
        <f t="shared" si="195"/>
        <v/>
      </c>
      <c r="AJ198" s="15" t="str">
        <f t="shared" si="195"/>
        <v/>
      </c>
      <c r="AK198" s="15" t="str">
        <f t="shared" si="195"/>
        <v/>
      </c>
      <c r="AL198" s="15" t="str">
        <f t="shared" si="195"/>
        <v/>
      </c>
      <c r="AM198" s="15" t="str">
        <f t="shared" si="195"/>
        <v/>
      </c>
      <c r="AN198" s="15" t="str">
        <f t="shared" si="195"/>
        <v/>
      </c>
      <c r="AO198" s="15" t="str">
        <f t="shared" si="195"/>
        <v/>
      </c>
      <c r="AP198" s="15" t="str">
        <f t="shared" si="195"/>
        <v/>
      </c>
      <c r="AQ198" s="15" t="str">
        <f t="shared" si="195"/>
        <v/>
      </c>
      <c r="AR198" s="15" t="str">
        <f t="shared" si="195"/>
        <v/>
      </c>
      <c r="AS198" s="15" t="str">
        <f t="shared" si="195"/>
        <v/>
      </c>
      <c r="AT198" s="15" t="str">
        <f t="shared" si="195"/>
        <v/>
      </c>
      <c r="AU198" s="15" t="str">
        <f t="shared" si="195"/>
        <v/>
      </c>
      <c r="AV198" s="15" t="str">
        <f t="shared" si="195"/>
        <v/>
      </c>
      <c r="AW198" s="15" t="str">
        <f t="shared" si="195"/>
        <v/>
      </c>
      <c r="AX198" s="15" t="str">
        <f t="shared" si="195"/>
        <v/>
      </c>
      <c r="AY198" s="15" t="str">
        <f t="shared" si="195"/>
        <v/>
      </c>
    </row>
    <row r="199" ht="18.0" customHeight="1">
      <c r="A199" s="13" t="str">
        <f t="shared" si="1"/>
        <v/>
      </c>
      <c r="B199" s="13" t="str">
        <f t="shared" si="2"/>
        <v/>
      </c>
      <c r="C199" s="12" t="str">
        <f t="shared" si="3"/>
        <v/>
      </c>
      <c r="D199" s="12" t="str">
        <f t="shared" si="4"/>
        <v/>
      </c>
      <c r="E199" s="12" t="str">
        <f t="shared" si="5"/>
        <v/>
      </c>
      <c r="F199" s="12" t="str">
        <f t="shared" si="6"/>
        <v/>
      </c>
      <c r="G199" s="12" t="str">
        <f t="shared" si="7"/>
        <v/>
      </c>
      <c r="H199" s="12" t="str">
        <f t="shared" si="8"/>
        <v/>
      </c>
      <c r="I199" s="12" t="str">
        <f t="shared" si="9"/>
        <v/>
      </c>
      <c r="J199" s="12" t="str">
        <f t="shared" si="10"/>
        <v/>
      </c>
      <c r="L199" s="15" t="str">
        <f t="shared" ref="L199:AY199" si="196">IF(L$13="","",IF(AND(L$13&gt;$H198,L$13&lt;=$I198),IF(AND(MOD($B$6,2)=1,L$13=ROUNDUP($J198,0)),"0",IF(L$13=INT($H198)+1,ROUNDDOWN(ABS(L$13-$J198),0),IF(L$13=INT($I198),ROUNDUP(ABS(L$13-$J198),0),""))),""))</f>
        <v/>
      </c>
      <c r="M199" s="15" t="str">
        <f t="shared" si="196"/>
        <v/>
      </c>
      <c r="N199" s="15" t="str">
        <f t="shared" si="196"/>
        <v/>
      </c>
      <c r="O199" s="15" t="str">
        <f t="shared" si="196"/>
        <v/>
      </c>
      <c r="P199" s="15" t="str">
        <f t="shared" si="196"/>
        <v/>
      </c>
      <c r="Q199" s="15" t="str">
        <f t="shared" si="196"/>
        <v/>
      </c>
      <c r="R199" s="15" t="str">
        <f t="shared" si="196"/>
        <v/>
      </c>
      <c r="S199" s="15" t="str">
        <f t="shared" si="196"/>
        <v/>
      </c>
      <c r="T199" s="15" t="str">
        <f t="shared" si="196"/>
        <v/>
      </c>
      <c r="U199" s="15" t="str">
        <f t="shared" si="196"/>
        <v/>
      </c>
      <c r="V199" s="15" t="str">
        <f t="shared" si="196"/>
        <v/>
      </c>
      <c r="W199" s="15" t="str">
        <f t="shared" si="196"/>
        <v/>
      </c>
      <c r="X199" s="15" t="str">
        <f t="shared" si="196"/>
        <v/>
      </c>
      <c r="Y199" s="15" t="str">
        <f t="shared" si="196"/>
        <v/>
      </c>
      <c r="Z199" s="15" t="str">
        <f t="shared" si="196"/>
        <v/>
      </c>
      <c r="AA199" s="15" t="str">
        <f t="shared" si="196"/>
        <v/>
      </c>
      <c r="AB199" s="15" t="str">
        <f t="shared" si="196"/>
        <v/>
      </c>
      <c r="AC199" s="15" t="str">
        <f t="shared" si="196"/>
        <v/>
      </c>
      <c r="AD199" s="15" t="str">
        <f t="shared" si="196"/>
        <v/>
      </c>
      <c r="AE199" s="15" t="str">
        <f t="shared" si="196"/>
        <v/>
      </c>
      <c r="AF199" s="15" t="str">
        <f t="shared" si="196"/>
        <v/>
      </c>
      <c r="AG199" s="15" t="str">
        <f t="shared" si="196"/>
        <v/>
      </c>
      <c r="AH199" s="15" t="str">
        <f t="shared" si="196"/>
        <v/>
      </c>
      <c r="AI199" s="15" t="str">
        <f t="shared" si="196"/>
        <v/>
      </c>
      <c r="AJ199" s="15" t="str">
        <f t="shared" si="196"/>
        <v/>
      </c>
      <c r="AK199" s="15" t="str">
        <f t="shared" si="196"/>
        <v/>
      </c>
      <c r="AL199" s="15" t="str">
        <f t="shared" si="196"/>
        <v/>
      </c>
      <c r="AM199" s="15" t="str">
        <f t="shared" si="196"/>
        <v/>
      </c>
      <c r="AN199" s="15" t="str">
        <f t="shared" si="196"/>
        <v/>
      </c>
      <c r="AO199" s="15" t="str">
        <f t="shared" si="196"/>
        <v/>
      </c>
      <c r="AP199" s="15" t="str">
        <f t="shared" si="196"/>
        <v/>
      </c>
      <c r="AQ199" s="15" t="str">
        <f t="shared" si="196"/>
        <v/>
      </c>
      <c r="AR199" s="15" t="str">
        <f t="shared" si="196"/>
        <v/>
      </c>
      <c r="AS199" s="15" t="str">
        <f t="shared" si="196"/>
        <v/>
      </c>
      <c r="AT199" s="15" t="str">
        <f t="shared" si="196"/>
        <v/>
      </c>
      <c r="AU199" s="15" t="str">
        <f t="shared" si="196"/>
        <v/>
      </c>
      <c r="AV199" s="15" t="str">
        <f t="shared" si="196"/>
        <v/>
      </c>
      <c r="AW199" s="15" t="str">
        <f t="shared" si="196"/>
        <v/>
      </c>
      <c r="AX199" s="15" t="str">
        <f t="shared" si="196"/>
        <v/>
      </c>
      <c r="AY199" s="15" t="str">
        <f t="shared" si="196"/>
        <v/>
      </c>
    </row>
    <row r="200" ht="18.0" customHeight="1">
      <c r="A200" s="13" t="str">
        <f t="shared" si="1"/>
        <v/>
      </c>
      <c r="B200" s="13" t="str">
        <f t="shared" si="2"/>
        <v/>
      </c>
      <c r="C200" s="12" t="str">
        <f t="shared" si="3"/>
        <v/>
      </c>
      <c r="D200" s="12" t="str">
        <f t="shared" si="4"/>
        <v/>
      </c>
      <c r="E200" s="12" t="str">
        <f t="shared" si="5"/>
        <v/>
      </c>
      <c r="F200" s="12" t="str">
        <f t="shared" si="6"/>
        <v/>
      </c>
      <c r="G200" s="12" t="str">
        <f t="shared" si="7"/>
        <v/>
      </c>
      <c r="H200" s="12" t="str">
        <f t="shared" si="8"/>
        <v/>
      </c>
      <c r="I200" s="12" t="str">
        <f t="shared" si="9"/>
        <v/>
      </c>
      <c r="J200" s="12" t="str">
        <f t="shared" si="10"/>
        <v/>
      </c>
      <c r="L200" s="15" t="str">
        <f t="shared" ref="L200:AY200" si="197">IF(L$13="","",IF(AND(L$13&gt;$H199,L$13&lt;=$I199),IF(AND(MOD($B$6,2)=1,L$13=ROUNDUP($J199,0)),"0",IF(L$13=INT($H199)+1,ROUNDDOWN(ABS(L$13-$J199),0),IF(L$13=INT($I199),ROUNDUP(ABS(L$13-$J199),0),""))),""))</f>
        <v/>
      </c>
      <c r="M200" s="15" t="str">
        <f t="shared" si="197"/>
        <v/>
      </c>
      <c r="N200" s="15" t="str">
        <f t="shared" si="197"/>
        <v/>
      </c>
      <c r="O200" s="15" t="str">
        <f t="shared" si="197"/>
        <v/>
      </c>
      <c r="P200" s="15" t="str">
        <f t="shared" si="197"/>
        <v/>
      </c>
      <c r="Q200" s="15" t="str">
        <f t="shared" si="197"/>
        <v/>
      </c>
      <c r="R200" s="15" t="str">
        <f t="shared" si="197"/>
        <v/>
      </c>
      <c r="S200" s="15" t="str">
        <f t="shared" si="197"/>
        <v/>
      </c>
      <c r="T200" s="15" t="str">
        <f t="shared" si="197"/>
        <v/>
      </c>
      <c r="U200" s="15" t="str">
        <f t="shared" si="197"/>
        <v/>
      </c>
      <c r="V200" s="15" t="str">
        <f t="shared" si="197"/>
        <v/>
      </c>
      <c r="W200" s="15" t="str">
        <f t="shared" si="197"/>
        <v/>
      </c>
      <c r="X200" s="15" t="str">
        <f t="shared" si="197"/>
        <v/>
      </c>
      <c r="Y200" s="15" t="str">
        <f t="shared" si="197"/>
        <v/>
      </c>
      <c r="Z200" s="15" t="str">
        <f t="shared" si="197"/>
        <v/>
      </c>
      <c r="AA200" s="15" t="str">
        <f t="shared" si="197"/>
        <v/>
      </c>
      <c r="AB200" s="15" t="str">
        <f t="shared" si="197"/>
        <v/>
      </c>
      <c r="AC200" s="15" t="str">
        <f t="shared" si="197"/>
        <v/>
      </c>
      <c r="AD200" s="15" t="str">
        <f t="shared" si="197"/>
        <v/>
      </c>
      <c r="AE200" s="15" t="str">
        <f t="shared" si="197"/>
        <v/>
      </c>
      <c r="AF200" s="15" t="str">
        <f t="shared" si="197"/>
        <v/>
      </c>
      <c r="AG200" s="15" t="str">
        <f t="shared" si="197"/>
        <v/>
      </c>
      <c r="AH200" s="15" t="str">
        <f t="shared" si="197"/>
        <v/>
      </c>
      <c r="AI200" s="15" t="str">
        <f t="shared" si="197"/>
        <v/>
      </c>
      <c r="AJ200" s="15" t="str">
        <f t="shared" si="197"/>
        <v/>
      </c>
      <c r="AK200" s="15" t="str">
        <f t="shared" si="197"/>
        <v/>
      </c>
      <c r="AL200" s="15" t="str">
        <f t="shared" si="197"/>
        <v/>
      </c>
      <c r="AM200" s="15" t="str">
        <f t="shared" si="197"/>
        <v/>
      </c>
      <c r="AN200" s="15" t="str">
        <f t="shared" si="197"/>
        <v/>
      </c>
      <c r="AO200" s="15" t="str">
        <f t="shared" si="197"/>
        <v/>
      </c>
      <c r="AP200" s="15" t="str">
        <f t="shared" si="197"/>
        <v/>
      </c>
      <c r="AQ200" s="15" t="str">
        <f t="shared" si="197"/>
        <v/>
      </c>
      <c r="AR200" s="15" t="str">
        <f t="shared" si="197"/>
        <v/>
      </c>
      <c r="AS200" s="15" t="str">
        <f t="shared" si="197"/>
        <v/>
      </c>
      <c r="AT200" s="15" t="str">
        <f t="shared" si="197"/>
        <v/>
      </c>
      <c r="AU200" s="15" t="str">
        <f t="shared" si="197"/>
        <v/>
      </c>
      <c r="AV200" s="15" t="str">
        <f t="shared" si="197"/>
        <v/>
      </c>
      <c r="AW200" s="15" t="str">
        <f t="shared" si="197"/>
        <v/>
      </c>
      <c r="AX200" s="15" t="str">
        <f t="shared" si="197"/>
        <v/>
      </c>
      <c r="AY200" s="15" t="str">
        <f t="shared" si="197"/>
        <v/>
      </c>
    </row>
    <row r="201" ht="18.0" customHeight="1">
      <c r="A201" s="13" t="str">
        <f t="shared" si="1"/>
        <v/>
      </c>
      <c r="B201" s="13" t="str">
        <f t="shared" si="2"/>
        <v/>
      </c>
      <c r="C201" s="12" t="str">
        <f t="shared" si="3"/>
        <v/>
      </c>
      <c r="D201" s="12" t="str">
        <f t="shared" si="4"/>
        <v/>
      </c>
      <c r="E201" s="12" t="str">
        <f t="shared" si="5"/>
        <v/>
      </c>
      <c r="F201" s="12" t="str">
        <f t="shared" si="6"/>
        <v/>
      </c>
      <c r="G201" s="12" t="str">
        <f t="shared" si="7"/>
        <v/>
      </c>
      <c r="H201" s="12" t="str">
        <f t="shared" si="8"/>
        <v/>
      </c>
      <c r="I201" s="12" t="str">
        <f t="shared" si="9"/>
        <v/>
      </c>
      <c r="J201" s="12" t="str">
        <f t="shared" si="10"/>
        <v/>
      </c>
      <c r="L201" s="15" t="str">
        <f t="shared" ref="L201:AY201" si="198">IF(L$13="","",IF(AND(L$13&gt;$H200,L$13&lt;=$I200),IF(AND(MOD($B$6,2)=1,L$13=ROUNDUP($J200,0)),"0",IF(L$13=INT($H200)+1,ROUNDDOWN(ABS(L$13-$J200),0),IF(L$13=INT($I200),ROUNDUP(ABS(L$13-$J200),0),""))),""))</f>
        <v/>
      </c>
      <c r="M201" s="15" t="str">
        <f t="shared" si="198"/>
        <v/>
      </c>
      <c r="N201" s="15" t="str">
        <f t="shared" si="198"/>
        <v/>
      </c>
      <c r="O201" s="15" t="str">
        <f t="shared" si="198"/>
        <v/>
      </c>
      <c r="P201" s="15" t="str">
        <f t="shared" si="198"/>
        <v/>
      </c>
      <c r="Q201" s="15" t="str">
        <f t="shared" si="198"/>
        <v/>
      </c>
      <c r="R201" s="15" t="str">
        <f t="shared" si="198"/>
        <v/>
      </c>
      <c r="S201" s="15" t="str">
        <f t="shared" si="198"/>
        <v/>
      </c>
      <c r="T201" s="15" t="str">
        <f t="shared" si="198"/>
        <v/>
      </c>
      <c r="U201" s="15" t="str">
        <f t="shared" si="198"/>
        <v/>
      </c>
      <c r="V201" s="15" t="str">
        <f t="shared" si="198"/>
        <v/>
      </c>
      <c r="W201" s="15" t="str">
        <f t="shared" si="198"/>
        <v/>
      </c>
      <c r="X201" s="15" t="str">
        <f t="shared" si="198"/>
        <v/>
      </c>
      <c r="Y201" s="15" t="str">
        <f t="shared" si="198"/>
        <v/>
      </c>
      <c r="Z201" s="15" t="str">
        <f t="shared" si="198"/>
        <v/>
      </c>
      <c r="AA201" s="15" t="str">
        <f t="shared" si="198"/>
        <v/>
      </c>
      <c r="AB201" s="15" t="str">
        <f t="shared" si="198"/>
        <v/>
      </c>
      <c r="AC201" s="15" t="str">
        <f t="shared" si="198"/>
        <v/>
      </c>
      <c r="AD201" s="15" t="str">
        <f t="shared" si="198"/>
        <v/>
      </c>
      <c r="AE201" s="15" t="str">
        <f t="shared" si="198"/>
        <v/>
      </c>
      <c r="AF201" s="15" t="str">
        <f t="shared" si="198"/>
        <v/>
      </c>
      <c r="AG201" s="15" t="str">
        <f t="shared" si="198"/>
        <v/>
      </c>
      <c r="AH201" s="15" t="str">
        <f t="shared" si="198"/>
        <v/>
      </c>
      <c r="AI201" s="15" t="str">
        <f t="shared" si="198"/>
        <v/>
      </c>
      <c r="AJ201" s="15" t="str">
        <f t="shared" si="198"/>
        <v/>
      </c>
      <c r="AK201" s="15" t="str">
        <f t="shared" si="198"/>
        <v/>
      </c>
      <c r="AL201" s="15" t="str">
        <f t="shared" si="198"/>
        <v/>
      </c>
      <c r="AM201" s="15" t="str">
        <f t="shared" si="198"/>
        <v/>
      </c>
      <c r="AN201" s="15" t="str">
        <f t="shared" si="198"/>
        <v/>
      </c>
      <c r="AO201" s="15" t="str">
        <f t="shared" si="198"/>
        <v/>
      </c>
      <c r="AP201" s="15" t="str">
        <f t="shared" si="198"/>
        <v/>
      </c>
      <c r="AQ201" s="15" t="str">
        <f t="shared" si="198"/>
        <v/>
      </c>
      <c r="AR201" s="15" t="str">
        <f t="shared" si="198"/>
        <v/>
      </c>
      <c r="AS201" s="15" t="str">
        <f t="shared" si="198"/>
        <v/>
      </c>
      <c r="AT201" s="15" t="str">
        <f t="shared" si="198"/>
        <v/>
      </c>
      <c r="AU201" s="15" t="str">
        <f t="shared" si="198"/>
        <v/>
      </c>
      <c r="AV201" s="15" t="str">
        <f t="shared" si="198"/>
        <v/>
      </c>
      <c r="AW201" s="15" t="str">
        <f t="shared" si="198"/>
        <v/>
      </c>
      <c r="AX201" s="15" t="str">
        <f t="shared" si="198"/>
        <v/>
      </c>
      <c r="AY201" s="15" t="str">
        <f t="shared" si="198"/>
        <v/>
      </c>
    </row>
    <row r="202" ht="18.0" customHeight="1">
      <c r="A202" s="13" t="str">
        <f t="shared" si="1"/>
        <v/>
      </c>
      <c r="B202" s="13" t="str">
        <f t="shared" si="2"/>
        <v/>
      </c>
      <c r="C202" s="12" t="str">
        <f t="shared" si="3"/>
        <v/>
      </c>
      <c r="D202" s="12" t="str">
        <f t="shared" si="4"/>
        <v/>
      </c>
      <c r="E202" s="12" t="str">
        <f t="shared" si="5"/>
        <v/>
      </c>
      <c r="F202" s="12" t="str">
        <f t="shared" si="6"/>
        <v/>
      </c>
      <c r="G202" s="12" t="str">
        <f t="shared" si="7"/>
        <v/>
      </c>
      <c r="H202" s="12" t="str">
        <f t="shared" si="8"/>
        <v/>
      </c>
      <c r="I202" s="12" t="str">
        <f t="shared" si="9"/>
        <v/>
      </c>
      <c r="J202" s="12" t="str">
        <f t="shared" si="10"/>
        <v/>
      </c>
      <c r="L202" s="15" t="str">
        <f t="shared" ref="L202:AY202" si="199">IF(L$13="","",IF(AND(L$13&gt;$H201,L$13&lt;=$I201),IF(AND(MOD($B$6,2)=1,L$13=ROUNDUP($J201,0)),"0",IF(L$13=INT($H201)+1,ROUNDDOWN(ABS(L$13-$J201),0),IF(L$13=INT($I201),ROUNDUP(ABS(L$13-$J201),0),""))),""))</f>
        <v/>
      </c>
      <c r="M202" s="15" t="str">
        <f t="shared" si="199"/>
        <v/>
      </c>
      <c r="N202" s="15" t="str">
        <f t="shared" si="199"/>
        <v/>
      </c>
      <c r="O202" s="15" t="str">
        <f t="shared" si="199"/>
        <v/>
      </c>
      <c r="P202" s="15" t="str">
        <f t="shared" si="199"/>
        <v/>
      </c>
      <c r="Q202" s="15" t="str">
        <f t="shared" si="199"/>
        <v/>
      </c>
      <c r="R202" s="15" t="str">
        <f t="shared" si="199"/>
        <v/>
      </c>
      <c r="S202" s="15" t="str">
        <f t="shared" si="199"/>
        <v/>
      </c>
      <c r="T202" s="15" t="str">
        <f t="shared" si="199"/>
        <v/>
      </c>
      <c r="U202" s="15" t="str">
        <f t="shared" si="199"/>
        <v/>
      </c>
      <c r="V202" s="15" t="str">
        <f t="shared" si="199"/>
        <v/>
      </c>
      <c r="W202" s="15" t="str">
        <f t="shared" si="199"/>
        <v/>
      </c>
      <c r="X202" s="15" t="str">
        <f t="shared" si="199"/>
        <v/>
      </c>
      <c r="Y202" s="15" t="str">
        <f t="shared" si="199"/>
        <v/>
      </c>
      <c r="Z202" s="15" t="str">
        <f t="shared" si="199"/>
        <v/>
      </c>
      <c r="AA202" s="15" t="str">
        <f t="shared" si="199"/>
        <v/>
      </c>
      <c r="AB202" s="15" t="str">
        <f t="shared" si="199"/>
        <v/>
      </c>
      <c r="AC202" s="15" t="str">
        <f t="shared" si="199"/>
        <v/>
      </c>
      <c r="AD202" s="15" t="str">
        <f t="shared" si="199"/>
        <v/>
      </c>
      <c r="AE202" s="15" t="str">
        <f t="shared" si="199"/>
        <v/>
      </c>
      <c r="AF202" s="15" t="str">
        <f t="shared" si="199"/>
        <v/>
      </c>
      <c r="AG202" s="15" t="str">
        <f t="shared" si="199"/>
        <v/>
      </c>
      <c r="AH202" s="15" t="str">
        <f t="shared" si="199"/>
        <v/>
      </c>
      <c r="AI202" s="15" t="str">
        <f t="shared" si="199"/>
        <v/>
      </c>
      <c r="AJ202" s="15" t="str">
        <f t="shared" si="199"/>
        <v/>
      </c>
      <c r="AK202" s="15" t="str">
        <f t="shared" si="199"/>
        <v/>
      </c>
      <c r="AL202" s="15" t="str">
        <f t="shared" si="199"/>
        <v/>
      </c>
      <c r="AM202" s="15" t="str">
        <f t="shared" si="199"/>
        <v/>
      </c>
      <c r="AN202" s="15" t="str">
        <f t="shared" si="199"/>
        <v/>
      </c>
      <c r="AO202" s="15" t="str">
        <f t="shared" si="199"/>
        <v/>
      </c>
      <c r="AP202" s="15" t="str">
        <f t="shared" si="199"/>
        <v/>
      </c>
      <c r="AQ202" s="15" t="str">
        <f t="shared" si="199"/>
        <v/>
      </c>
      <c r="AR202" s="15" t="str">
        <f t="shared" si="199"/>
        <v/>
      </c>
      <c r="AS202" s="15" t="str">
        <f t="shared" si="199"/>
        <v/>
      </c>
      <c r="AT202" s="15" t="str">
        <f t="shared" si="199"/>
        <v/>
      </c>
      <c r="AU202" s="15" t="str">
        <f t="shared" si="199"/>
        <v/>
      </c>
      <c r="AV202" s="15" t="str">
        <f t="shared" si="199"/>
        <v/>
      </c>
      <c r="AW202" s="15" t="str">
        <f t="shared" si="199"/>
        <v/>
      </c>
      <c r="AX202" s="15" t="str">
        <f t="shared" si="199"/>
        <v/>
      </c>
      <c r="AY202" s="15" t="str">
        <f t="shared" si="199"/>
        <v/>
      </c>
    </row>
    <row r="203" ht="18.0" customHeight="1">
      <c r="A203" s="13" t="str">
        <f t="shared" si="1"/>
        <v/>
      </c>
      <c r="B203" s="13" t="str">
        <f t="shared" si="2"/>
        <v/>
      </c>
      <c r="C203" s="12" t="str">
        <f t="shared" si="3"/>
        <v/>
      </c>
      <c r="D203" s="12" t="str">
        <f t="shared" si="4"/>
        <v/>
      </c>
      <c r="E203" s="12" t="str">
        <f t="shared" si="5"/>
        <v/>
      </c>
      <c r="F203" s="12" t="str">
        <f t="shared" si="6"/>
        <v/>
      </c>
      <c r="G203" s="12" t="str">
        <f t="shared" si="7"/>
        <v/>
      </c>
      <c r="H203" s="12" t="str">
        <f t="shared" si="8"/>
        <v/>
      </c>
      <c r="I203" s="12" t="str">
        <f t="shared" si="9"/>
        <v/>
      </c>
      <c r="J203" s="12" t="str">
        <f t="shared" si="10"/>
        <v/>
      </c>
      <c r="L203" s="15" t="str">
        <f t="shared" ref="L203:AY203" si="200">IF(L$13="","",IF(AND(L$13&gt;$H202,L$13&lt;=$I202),IF(AND(MOD($B$6,2)=1,L$13=ROUNDUP($J202,0)),"0",IF(L$13=INT($H202)+1,ROUNDDOWN(ABS(L$13-$J202),0),IF(L$13=INT($I202),ROUNDUP(ABS(L$13-$J202),0),""))),""))</f>
        <v/>
      </c>
      <c r="M203" s="15" t="str">
        <f t="shared" si="200"/>
        <v/>
      </c>
      <c r="N203" s="15" t="str">
        <f t="shared" si="200"/>
        <v/>
      </c>
      <c r="O203" s="15" t="str">
        <f t="shared" si="200"/>
        <v/>
      </c>
      <c r="P203" s="15" t="str">
        <f t="shared" si="200"/>
        <v/>
      </c>
      <c r="Q203" s="15" t="str">
        <f t="shared" si="200"/>
        <v/>
      </c>
      <c r="R203" s="15" t="str">
        <f t="shared" si="200"/>
        <v/>
      </c>
      <c r="S203" s="15" t="str">
        <f t="shared" si="200"/>
        <v/>
      </c>
      <c r="T203" s="15" t="str">
        <f t="shared" si="200"/>
        <v/>
      </c>
      <c r="U203" s="15" t="str">
        <f t="shared" si="200"/>
        <v/>
      </c>
      <c r="V203" s="15" t="str">
        <f t="shared" si="200"/>
        <v/>
      </c>
      <c r="W203" s="15" t="str">
        <f t="shared" si="200"/>
        <v/>
      </c>
      <c r="X203" s="15" t="str">
        <f t="shared" si="200"/>
        <v/>
      </c>
      <c r="Y203" s="15" t="str">
        <f t="shared" si="200"/>
        <v/>
      </c>
      <c r="Z203" s="15" t="str">
        <f t="shared" si="200"/>
        <v/>
      </c>
      <c r="AA203" s="15" t="str">
        <f t="shared" si="200"/>
        <v/>
      </c>
      <c r="AB203" s="15" t="str">
        <f t="shared" si="200"/>
        <v/>
      </c>
      <c r="AC203" s="15" t="str">
        <f t="shared" si="200"/>
        <v/>
      </c>
      <c r="AD203" s="15" t="str">
        <f t="shared" si="200"/>
        <v/>
      </c>
      <c r="AE203" s="15" t="str">
        <f t="shared" si="200"/>
        <v/>
      </c>
      <c r="AF203" s="15" t="str">
        <f t="shared" si="200"/>
        <v/>
      </c>
      <c r="AG203" s="15" t="str">
        <f t="shared" si="200"/>
        <v/>
      </c>
      <c r="AH203" s="15" t="str">
        <f t="shared" si="200"/>
        <v/>
      </c>
      <c r="AI203" s="15" t="str">
        <f t="shared" si="200"/>
        <v/>
      </c>
      <c r="AJ203" s="15" t="str">
        <f t="shared" si="200"/>
        <v/>
      </c>
      <c r="AK203" s="15" t="str">
        <f t="shared" si="200"/>
        <v/>
      </c>
      <c r="AL203" s="15" t="str">
        <f t="shared" si="200"/>
        <v/>
      </c>
      <c r="AM203" s="15" t="str">
        <f t="shared" si="200"/>
        <v/>
      </c>
      <c r="AN203" s="15" t="str">
        <f t="shared" si="200"/>
        <v/>
      </c>
      <c r="AO203" s="15" t="str">
        <f t="shared" si="200"/>
        <v/>
      </c>
      <c r="AP203" s="15" t="str">
        <f t="shared" si="200"/>
        <v/>
      </c>
      <c r="AQ203" s="15" t="str">
        <f t="shared" si="200"/>
        <v/>
      </c>
      <c r="AR203" s="15" t="str">
        <f t="shared" si="200"/>
        <v/>
      </c>
      <c r="AS203" s="15" t="str">
        <f t="shared" si="200"/>
        <v/>
      </c>
      <c r="AT203" s="15" t="str">
        <f t="shared" si="200"/>
        <v/>
      </c>
      <c r="AU203" s="15" t="str">
        <f t="shared" si="200"/>
        <v/>
      </c>
      <c r="AV203" s="15" t="str">
        <f t="shared" si="200"/>
        <v/>
      </c>
      <c r="AW203" s="15" t="str">
        <f t="shared" si="200"/>
        <v/>
      </c>
      <c r="AX203" s="15" t="str">
        <f t="shared" si="200"/>
        <v/>
      </c>
      <c r="AY203" s="15" t="str">
        <f t="shared" si="200"/>
        <v/>
      </c>
    </row>
    <row r="204" ht="18.0" customHeight="1">
      <c r="A204" s="13" t="str">
        <f t="shared" si="1"/>
        <v/>
      </c>
      <c r="B204" s="13" t="str">
        <f t="shared" si="2"/>
        <v/>
      </c>
      <c r="C204" s="12" t="str">
        <f t="shared" si="3"/>
        <v/>
      </c>
      <c r="D204" s="12" t="str">
        <f t="shared" si="4"/>
        <v/>
      </c>
      <c r="E204" s="12" t="str">
        <f t="shared" si="5"/>
        <v/>
      </c>
      <c r="F204" s="12" t="str">
        <f t="shared" si="6"/>
        <v/>
      </c>
      <c r="G204" s="12" t="str">
        <f t="shared" si="7"/>
        <v/>
      </c>
      <c r="H204" s="12" t="str">
        <f t="shared" si="8"/>
        <v/>
      </c>
      <c r="I204" s="12" t="str">
        <f t="shared" si="9"/>
        <v/>
      </c>
      <c r="J204" s="12" t="str">
        <f t="shared" si="10"/>
        <v/>
      </c>
      <c r="L204" s="15" t="str">
        <f t="shared" ref="L204:AY204" si="201">IF(L$13="","",IF(AND(L$13&gt;$H203,L$13&lt;=$I203),IF(AND(MOD($B$6,2)=1,L$13=ROUNDUP($J203,0)),"0",IF(L$13=INT($H203)+1,ROUNDDOWN(ABS(L$13-$J203),0),IF(L$13=INT($I203),ROUNDUP(ABS(L$13-$J203),0),""))),""))</f>
        <v/>
      </c>
      <c r="M204" s="15" t="str">
        <f t="shared" si="201"/>
        <v/>
      </c>
      <c r="N204" s="15" t="str">
        <f t="shared" si="201"/>
        <v/>
      </c>
      <c r="O204" s="15" t="str">
        <f t="shared" si="201"/>
        <v/>
      </c>
      <c r="P204" s="15" t="str">
        <f t="shared" si="201"/>
        <v/>
      </c>
      <c r="Q204" s="15" t="str">
        <f t="shared" si="201"/>
        <v/>
      </c>
      <c r="R204" s="15" t="str">
        <f t="shared" si="201"/>
        <v/>
      </c>
      <c r="S204" s="15" t="str">
        <f t="shared" si="201"/>
        <v/>
      </c>
      <c r="T204" s="15" t="str">
        <f t="shared" si="201"/>
        <v/>
      </c>
      <c r="U204" s="15" t="str">
        <f t="shared" si="201"/>
        <v/>
      </c>
      <c r="V204" s="15" t="str">
        <f t="shared" si="201"/>
        <v/>
      </c>
      <c r="W204" s="15" t="str">
        <f t="shared" si="201"/>
        <v/>
      </c>
      <c r="X204" s="15" t="str">
        <f t="shared" si="201"/>
        <v/>
      </c>
      <c r="Y204" s="15" t="str">
        <f t="shared" si="201"/>
        <v/>
      </c>
      <c r="Z204" s="15" t="str">
        <f t="shared" si="201"/>
        <v/>
      </c>
      <c r="AA204" s="15" t="str">
        <f t="shared" si="201"/>
        <v/>
      </c>
      <c r="AB204" s="15" t="str">
        <f t="shared" si="201"/>
        <v/>
      </c>
      <c r="AC204" s="15" t="str">
        <f t="shared" si="201"/>
        <v/>
      </c>
      <c r="AD204" s="15" t="str">
        <f t="shared" si="201"/>
        <v/>
      </c>
      <c r="AE204" s="15" t="str">
        <f t="shared" si="201"/>
        <v/>
      </c>
      <c r="AF204" s="15" t="str">
        <f t="shared" si="201"/>
        <v/>
      </c>
      <c r="AG204" s="15" t="str">
        <f t="shared" si="201"/>
        <v/>
      </c>
      <c r="AH204" s="15" t="str">
        <f t="shared" si="201"/>
        <v/>
      </c>
      <c r="AI204" s="15" t="str">
        <f t="shared" si="201"/>
        <v/>
      </c>
      <c r="AJ204" s="15" t="str">
        <f t="shared" si="201"/>
        <v/>
      </c>
      <c r="AK204" s="15" t="str">
        <f t="shared" si="201"/>
        <v/>
      </c>
      <c r="AL204" s="15" t="str">
        <f t="shared" si="201"/>
        <v/>
      </c>
      <c r="AM204" s="15" t="str">
        <f t="shared" si="201"/>
        <v/>
      </c>
      <c r="AN204" s="15" t="str">
        <f t="shared" si="201"/>
        <v/>
      </c>
      <c r="AO204" s="15" t="str">
        <f t="shared" si="201"/>
        <v/>
      </c>
      <c r="AP204" s="15" t="str">
        <f t="shared" si="201"/>
        <v/>
      </c>
      <c r="AQ204" s="15" t="str">
        <f t="shared" si="201"/>
        <v/>
      </c>
      <c r="AR204" s="15" t="str">
        <f t="shared" si="201"/>
        <v/>
      </c>
      <c r="AS204" s="15" t="str">
        <f t="shared" si="201"/>
        <v/>
      </c>
      <c r="AT204" s="15" t="str">
        <f t="shared" si="201"/>
        <v/>
      </c>
      <c r="AU204" s="15" t="str">
        <f t="shared" si="201"/>
        <v/>
      </c>
      <c r="AV204" s="15" t="str">
        <f t="shared" si="201"/>
        <v/>
      </c>
      <c r="AW204" s="15" t="str">
        <f t="shared" si="201"/>
        <v/>
      </c>
      <c r="AX204" s="15" t="str">
        <f t="shared" si="201"/>
        <v/>
      </c>
      <c r="AY204" s="15" t="str">
        <f t="shared" si="201"/>
        <v/>
      </c>
    </row>
    <row r="205" ht="18.0" customHeight="1">
      <c r="A205" s="13" t="str">
        <f t="shared" si="1"/>
        <v/>
      </c>
      <c r="B205" s="13" t="str">
        <f t="shared" si="2"/>
        <v/>
      </c>
      <c r="C205" s="12" t="str">
        <f t="shared" si="3"/>
        <v/>
      </c>
      <c r="D205" s="12" t="str">
        <f t="shared" si="4"/>
        <v/>
      </c>
      <c r="E205" s="12" t="str">
        <f t="shared" si="5"/>
        <v/>
      </c>
      <c r="F205" s="12" t="str">
        <f t="shared" si="6"/>
        <v/>
      </c>
      <c r="G205" s="12" t="str">
        <f t="shared" si="7"/>
        <v/>
      </c>
      <c r="H205" s="12" t="str">
        <f t="shared" si="8"/>
        <v/>
      </c>
      <c r="I205" s="12" t="str">
        <f t="shared" si="9"/>
        <v/>
      </c>
      <c r="J205" s="12" t="str">
        <f t="shared" si="10"/>
        <v/>
      </c>
      <c r="L205" s="15" t="str">
        <f t="shared" ref="L205:AY205" si="202">IF(L$13="","",IF(AND(L$13&gt;$H204,L$13&lt;=$I204),IF(AND(MOD($B$6,2)=1,L$13=ROUNDUP($J204,0)),"0",IF(L$13=INT($H204)+1,ROUNDDOWN(ABS(L$13-$J204),0),IF(L$13=INT($I204),ROUNDUP(ABS(L$13-$J204),0),""))),""))</f>
        <v/>
      </c>
      <c r="M205" s="15" t="str">
        <f t="shared" si="202"/>
        <v/>
      </c>
      <c r="N205" s="15" t="str">
        <f t="shared" si="202"/>
        <v/>
      </c>
      <c r="O205" s="15" t="str">
        <f t="shared" si="202"/>
        <v/>
      </c>
      <c r="P205" s="15" t="str">
        <f t="shared" si="202"/>
        <v/>
      </c>
      <c r="Q205" s="15" t="str">
        <f t="shared" si="202"/>
        <v/>
      </c>
      <c r="R205" s="15" t="str">
        <f t="shared" si="202"/>
        <v/>
      </c>
      <c r="S205" s="15" t="str">
        <f t="shared" si="202"/>
        <v/>
      </c>
      <c r="T205" s="15" t="str">
        <f t="shared" si="202"/>
        <v/>
      </c>
      <c r="U205" s="15" t="str">
        <f t="shared" si="202"/>
        <v/>
      </c>
      <c r="V205" s="15" t="str">
        <f t="shared" si="202"/>
        <v/>
      </c>
      <c r="W205" s="15" t="str">
        <f t="shared" si="202"/>
        <v/>
      </c>
      <c r="X205" s="15" t="str">
        <f t="shared" si="202"/>
        <v/>
      </c>
      <c r="Y205" s="15" t="str">
        <f t="shared" si="202"/>
        <v/>
      </c>
      <c r="Z205" s="15" t="str">
        <f t="shared" si="202"/>
        <v/>
      </c>
      <c r="AA205" s="15" t="str">
        <f t="shared" si="202"/>
        <v/>
      </c>
      <c r="AB205" s="15" t="str">
        <f t="shared" si="202"/>
        <v/>
      </c>
      <c r="AC205" s="15" t="str">
        <f t="shared" si="202"/>
        <v/>
      </c>
      <c r="AD205" s="15" t="str">
        <f t="shared" si="202"/>
        <v/>
      </c>
      <c r="AE205" s="15" t="str">
        <f t="shared" si="202"/>
        <v/>
      </c>
      <c r="AF205" s="15" t="str">
        <f t="shared" si="202"/>
        <v/>
      </c>
      <c r="AG205" s="15" t="str">
        <f t="shared" si="202"/>
        <v/>
      </c>
      <c r="AH205" s="15" t="str">
        <f t="shared" si="202"/>
        <v/>
      </c>
      <c r="AI205" s="15" t="str">
        <f t="shared" si="202"/>
        <v/>
      </c>
      <c r="AJ205" s="15" t="str">
        <f t="shared" si="202"/>
        <v/>
      </c>
      <c r="AK205" s="15" t="str">
        <f t="shared" si="202"/>
        <v/>
      </c>
      <c r="AL205" s="15" t="str">
        <f t="shared" si="202"/>
        <v/>
      </c>
      <c r="AM205" s="15" t="str">
        <f t="shared" si="202"/>
        <v/>
      </c>
      <c r="AN205" s="15" t="str">
        <f t="shared" si="202"/>
        <v/>
      </c>
      <c r="AO205" s="15" t="str">
        <f t="shared" si="202"/>
        <v/>
      </c>
      <c r="AP205" s="15" t="str">
        <f t="shared" si="202"/>
        <v/>
      </c>
      <c r="AQ205" s="15" t="str">
        <f t="shared" si="202"/>
        <v/>
      </c>
      <c r="AR205" s="15" t="str">
        <f t="shared" si="202"/>
        <v/>
      </c>
      <c r="AS205" s="15" t="str">
        <f t="shared" si="202"/>
        <v/>
      </c>
      <c r="AT205" s="15" t="str">
        <f t="shared" si="202"/>
        <v/>
      </c>
      <c r="AU205" s="15" t="str">
        <f t="shared" si="202"/>
        <v/>
      </c>
      <c r="AV205" s="15" t="str">
        <f t="shared" si="202"/>
        <v/>
      </c>
      <c r="AW205" s="15" t="str">
        <f t="shared" si="202"/>
        <v/>
      </c>
      <c r="AX205" s="15" t="str">
        <f t="shared" si="202"/>
        <v/>
      </c>
      <c r="AY205" s="15" t="str">
        <f t="shared" si="202"/>
        <v/>
      </c>
    </row>
    <row r="206" ht="18.0" customHeight="1">
      <c r="A206" s="13" t="str">
        <f t="shared" si="1"/>
        <v/>
      </c>
      <c r="B206" s="13" t="str">
        <f t="shared" si="2"/>
        <v/>
      </c>
      <c r="C206" s="12" t="str">
        <f t="shared" si="3"/>
        <v/>
      </c>
      <c r="D206" s="12" t="str">
        <f t="shared" si="4"/>
        <v/>
      </c>
      <c r="E206" s="12" t="str">
        <f t="shared" si="5"/>
        <v/>
      </c>
      <c r="F206" s="12" t="str">
        <f t="shared" si="6"/>
        <v/>
      </c>
      <c r="G206" s="12" t="str">
        <f t="shared" si="7"/>
        <v/>
      </c>
      <c r="H206" s="12" t="str">
        <f t="shared" si="8"/>
        <v/>
      </c>
      <c r="I206" s="12" t="str">
        <f t="shared" si="9"/>
        <v/>
      </c>
      <c r="J206" s="12" t="str">
        <f t="shared" si="10"/>
        <v/>
      </c>
      <c r="L206" s="15" t="str">
        <f t="shared" ref="L206:AY206" si="203">IF(L$13="","",IF(AND(L$13&gt;$H205,L$13&lt;=$I205),IF(AND(MOD($B$6,2)=1,L$13=ROUNDUP($J205,0)),"0",IF(L$13=INT($H205)+1,ROUNDDOWN(ABS(L$13-$J205),0),IF(L$13=INT($I205),ROUNDUP(ABS(L$13-$J205),0),""))),""))</f>
        <v/>
      </c>
      <c r="M206" s="15" t="str">
        <f t="shared" si="203"/>
        <v/>
      </c>
      <c r="N206" s="15" t="str">
        <f t="shared" si="203"/>
        <v/>
      </c>
      <c r="O206" s="15" t="str">
        <f t="shared" si="203"/>
        <v/>
      </c>
      <c r="P206" s="15" t="str">
        <f t="shared" si="203"/>
        <v/>
      </c>
      <c r="Q206" s="15" t="str">
        <f t="shared" si="203"/>
        <v/>
      </c>
      <c r="R206" s="15" t="str">
        <f t="shared" si="203"/>
        <v/>
      </c>
      <c r="S206" s="15" t="str">
        <f t="shared" si="203"/>
        <v/>
      </c>
      <c r="T206" s="15" t="str">
        <f t="shared" si="203"/>
        <v/>
      </c>
      <c r="U206" s="15" t="str">
        <f t="shared" si="203"/>
        <v/>
      </c>
      <c r="V206" s="15" t="str">
        <f t="shared" si="203"/>
        <v/>
      </c>
      <c r="W206" s="15" t="str">
        <f t="shared" si="203"/>
        <v/>
      </c>
      <c r="X206" s="15" t="str">
        <f t="shared" si="203"/>
        <v/>
      </c>
      <c r="Y206" s="15" t="str">
        <f t="shared" si="203"/>
        <v/>
      </c>
      <c r="Z206" s="15" t="str">
        <f t="shared" si="203"/>
        <v/>
      </c>
      <c r="AA206" s="15" t="str">
        <f t="shared" si="203"/>
        <v/>
      </c>
      <c r="AB206" s="15" t="str">
        <f t="shared" si="203"/>
        <v/>
      </c>
      <c r="AC206" s="15" t="str">
        <f t="shared" si="203"/>
        <v/>
      </c>
      <c r="AD206" s="15" t="str">
        <f t="shared" si="203"/>
        <v/>
      </c>
      <c r="AE206" s="15" t="str">
        <f t="shared" si="203"/>
        <v/>
      </c>
      <c r="AF206" s="15" t="str">
        <f t="shared" si="203"/>
        <v/>
      </c>
      <c r="AG206" s="15" t="str">
        <f t="shared" si="203"/>
        <v/>
      </c>
      <c r="AH206" s="15" t="str">
        <f t="shared" si="203"/>
        <v/>
      </c>
      <c r="AI206" s="15" t="str">
        <f t="shared" si="203"/>
        <v/>
      </c>
      <c r="AJ206" s="15" t="str">
        <f t="shared" si="203"/>
        <v/>
      </c>
      <c r="AK206" s="15" t="str">
        <f t="shared" si="203"/>
        <v/>
      </c>
      <c r="AL206" s="15" t="str">
        <f t="shared" si="203"/>
        <v/>
      </c>
      <c r="AM206" s="15" t="str">
        <f t="shared" si="203"/>
        <v/>
      </c>
      <c r="AN206" s="15" t="str">
        <f t="shared" si="203"/>
        <v/>
      </c>
      <c r="AO206" s="15" t="str">
        <f t="shared" si="203"/>
        <v/>
      </c>
      <c r="AP206" s="15" t="str">
        <f t="shared" si="203"/>
        <v/>
      </c>
      <c r="AQ206" s="15" t="str">
        <f t="shared" si="203"/>
        <v/>
      </c>
      <c r="AR206" s="15" t="str">
        <f t="shared" si="203"/>
        <v/>
      </c>
      <c r="AS206" s="15" t="str">
        <f t="shared" si="203"/>
        <v/>
      </c>
      <c r="AT206" s="15" t="str">
        <f t="shared" si="203"/>
        <v/>
      </c>
      <c r="AU206" s="15" t="str">
        <f t="shared" si="203"/>
        <v/>
      </c>
      <c r="AV206" s="15" t="str">
        <f t="shared" si="203"/>
        <v/>
      </c>
      <c r="AW206" s="15" t="str">
        <f t="shared" si="203"/>
        <v/>
      </c>
      <c r="AX206" s="15" t="str">
        <f t="shared" si="203"/>
        <v/>
      </c>
      <c r="AY206" s="15" t="str">
        <f t="shared" si="203"/>
        <v/>
      </c>
    </row>
    <row r="207" ht="18.0" customHeight="1">
      <c r="A207" s="13" t="str">
        <f t="shared" si="1"/>
        <v/>
      </c>
      <c r="B207" s="13" t="str">
        <f t="shared" si="2"/>
        <v/>
      </c>
      <c r="C207" s="12" t="str">
        <f t="shared" si="3"/>
        <v/>
      </c>
      <c r="D207" s="12" t="str">
        <f t="shared" si="4"/>
        <v/>
      </c>
      <c r="E207" s="12" t="str">
        <f t="shared" si="5"/>
        <v/>
      </c>
      <c r="F207" s="12" t="str">
        <f t="shared" si="6"/>
        <v/>
      </c>
      <c r="G207" s="12" t="str">
        <f t="shared" si="7"/>
        <v/>
      </c>
      <c r="H207" s="12" t="str">
        <f t="shared" si="8"/>
        <v/>
      </c>
      <c r="I207" s="12" t="str">
        <f t="shared" si="9"/>
        <v/>
      </c>
      <c r="J207" s="12" t="str">
        <f t="shared" si="10"/>
        <v/>
      </c>
      <c r="L207" s="15" t="str">
        <f t="shared" ref="L207:AY207" si="204">IF(L$13="","",IF(AND(L$13&gt;$H206,L$13&lt;=$I206),IF(AND(MOD($B$6,2)=1,L$13=ROUNDUP($J206,0)),"0",IF(L$13=INT($H206)+1,ROUNDDOWN(ABS(L$13-$J206),0),IF(L$13=INT($I206),ROUNDUP(ABS(L$13-$J206),0),""))),""))</f>
        <v/>
      </c>
      <c r="M207" s="15" t="str">
        <f t="shared" si="204"/>
        <v/>
      </c>
      <c r="N207" s="15" t="str">
        <f t="shared" si="204"/>
        <v/>
      </c>
      <c r="O207" s="15" t="str">
        <f t="shared" si="204"/>
        <v/>
      </c>
      <c r="P207" s="15" t="str">
        <f t="shared" si="204"/>
        <v/>
      </c>
      <c r="Q207" s="15" t="str">
        <f t="shared" si="204"/>
        <v/>
      </c>
      <c r="R207" s="15" t="str">
        <f t="shared" si="204"/>
        <v/>
      </c>
      <c r="S207" s="15" t="str">
        <f t="shared" si="204"/>
        <v/>
      </c>
      <c r="T207" s="15" t="str">
        <f t="shared" si="204"/>
        <v/>
      </c>
      <c r="U207" s="15" t="str">
        <f t="shared" si="204"/>
        <v/>
      </c>
      <c r="V207" s="15" t="str">
        <f t="shared" si="204"/>
        <v/>
      </c>
      <c r="W207" s="15" t="str">
        <f t="shared" si="204"/>
        <v/>
      </c>
      <c r="X207" s="15" t="str">
        <f t="shared" si="204"/>
        <v/>
      </c>
      <c r="Y207" s="15" t="str">
        <f t="shared" si="204"/>
        <v/>
      </c>
      <c r="Z207" s="15" t="str">
        <f t="shared" si="204"/>
        <v/>
      </c>
      <c r="AA207" s="15" t="str">
        <f t="shared" si="204"/>
        <v/>
      </c>
      <c r="AB207" s="15" t="str">
        <f t="shared" si="204"/>
        <v/>
      </c>
      <c r="AC207" s="15" t="str">
        <f t="shared" si="204"/>
        <v/>
      </c>
      <c r="AD207" s="15" t="str">
        <f t="shared" si="204"/>
        <v/>
      </c>
      <c r="AE207" s="15" t="str">
        <f t="shared" si="204"/>
        <v/>
      </c>
      <c r="AF207" s="15" t="str">
        <f t="shared" si="204"/>
        <v/>
      </c>
      <c r="AG207" s="15" t="str">
        <f t="shared" si="204"/>
        <v/>
      </c>
      <c r="AH207" s="15" t="str">
        <f t="shared" si="204"/>
        <v/>
      </c>
      <c r="AI207" s="15" t="str">
        <f t="shared" si="204"/>
        <v/>
      </c>
      <c r="AJ207" s="15" t="str">
        <f t="shared" si="204"/>
        <v/>
      </c>
      <c r="AK207" s="15" t="str">
        <f t="shared" si="204"/>
        <v/>
      </c>
      <c r="AL207" s="15" t="str">
        <f t="shared" si="204"/>
        <v/>
      </c>
      <c r="AM207" s="15" t="str">
        <f t="shared" si="204"/>
        <v/>
      </c>
      <c r="AN207" s="15" t="str">
        <f t="shared" si="204"/>
        <v/>
      </c>
      <c r="AO207" s="15" t="str">
        <f t="shared" si="204"/>
        <v/>
      </c>
      <c r="AP207" s="15" t="str">
        <f t="shared" si="204"/>
        <v/>
      </c>
      <c r="AQ207" s="15" t="str">
        <f t="shared" si="204"/>
        <v/>
      </c>
      <c r="AR207" s="15" t="str">
        <f t="shared" si="204"/>
        <v/>
      </c>
      <c r="AS207" s="15" t="str">
        <f t="shared" si="204"/>
        <v/>
      </c>
      <c r="AT207" s="15" t="str">
        <f t="shared" si="204"/>
        <v/>
      </c>
      <c r="AU207" s="15" t="str">
        <f t="shared" si="204"/>
        <v/>
      </c>
      <c r="AV207" s="15" t="str">
        <f t="shared" si="204"/>
        <v/>
      </c>
      <c r="AW207" s="15" t="str">
        <f t="shared" si="204"/>
        <v/>
      </c>
      <c r="AX207" s="15" t="str">
        <f t="shared" si="204"/>
        <v/>
      </c>
      <c r="AY207" s="15" t="str">
        <f t="shared" si="204"/>
        <v/>
      </c>
    </row>
    <row r="208" ht="18.0" customHeight="1">
      <c r="A208" s="13" t="str">
        <f t="shared" si="1"/>
        <v/>
      </c>
      <c r="B208" s="13" t="str">
        <f t="shared" si="2"/>
        <v/>
      </c>
      <c r="C208" s="12" t="str">
        <f t="shared" si="3"/>
        <v/>
      </c>
      <c r="D208" s="12" t="str">
        <f t="shared" si="4"/>
        <v/>
      </c>
      <c r="E208" s="12" t="str">
        <f t="shared" si="5"/>
        <v/>
      </c>
      <c r="F208" s="12" t="str">
        <f t="shared" si="6"/>
        <v/>
      </c>
      <c r="G208" s="12" t="str">
        <f t="shared" si="7"/>
        <v/>
      </c>
      <c r="H208" s="12" t="str">
        <f t="shared" si="8"/>
        <v/>
      </c>
      <c r="I208" s="12" t="str">
        <f t="shared" si="9"/>
        <v/>
      </c>
      <c r="J208" s="12" t="str">
        <f t="shared" si="10"/>
        <v/>
      </c>
      <c r="L208" s="15" t="str">
        <f t="shared" ref="L208:AY208" si="205">IF(L$13="","",IF(AND(L$13&gt;$H207,L$13&lt;=$I207),IF(AND(MOD($B$6,2)=1,L$13=ROUNDUP($J207,0)),"0",IF(L$13=INT($H207)+1,ROUNDDOWN(ABS(L$13-$J207),0),IF(L$13=INT($I207),ROUNDUP(ABS(L$13-$J207),0),""))),""))</f>
        <v/>
      </c>
      <c r="M208" s="15" t="str">
        <f t="shared" si="205"/>
        <v/>
      </c>
      <c r="N208" s="15" t="str">
        <f t="shared" si="205"/>
        <v/>
      </c>
      <c r="O208" s="15" t="str">
        <f t="shared" si="205"/>
        <v/>
      </c>
      <c r="P208" s="15" t="str">
        <f t="shared" si="205"/>
        <v/>
      </c>
      <c r="Q208" s="15" t="str">
        <f t="shared" si="205"/>
        <v/>
      </c>
      <c r="R208" s="15" t="str">
        <f t="shared" si="205"/>
        <v/>
      </c>
      <c r="S208" s="15" t="str">
        <f t="shared" si="205"/>
        <v/>
      </c>
      <c r="T208" s="15" t="str">
        <f t="shared" si="205"/>
        <v/>
      </c>
      <c r="U208" s="15" t="str">
        <f t="shared" si="205"/>
        <v/>
      </c>
      <c r="V208" s="15" t="str">
        <f t="shared" si="205"/>
        <v/>
      </c>
      <c r="W208" s="15" t="str">
        <f t="shared" si="205"/>
        <v/>
      </c>
      <c r="X208" s="15" t="str">
        <f t="shared" si="205"/>
        <v/>
      </c>
      <c r="Y208" s="15" t="str">
        <f t="shared" si="205"/>
        <v/>
      </c>
      <c r="Z208" s="15" t="str">
        <f t="shared" si="205"/>
        <v/>
      </c>
      <c r="AA208" s="15" t="str">
        <f t="shared" si="205"/>
        <v/>
      </c>
      <c r="AB208" s="15" t="str">
        <f t="shared" si="205"/>
        <v/>
      </c>
      <c r="AC208" s="15" t="str">
        <f t="shared" si="205"/>
        <v/>
      </c>
      <c r="AD208" s="15" t="str">
        <f t="shared" si="205"/>
        <v/>
      </c>
      <c r="AE208" s="15" t="str">
        <f t="shared" si="205"/>
        <v/>
      </c>
      <c r="AF208" s="15" t="str">
        <f t="shared" si="205"/>
        <v/>
      </c>
      <c r="AG208" s="15" t="str">
        <f t="shared" si="205"/>
        <v/>
      </c>
      <c r="AH208" s="15" t="str">
        <f t="shared" si="205"/>
        <v/>
      </c>
      <c r="AI208" s="15" t="str">
        <f t="shared" si="205"/>
        <v/>
      </c>
      <c r="AJ208" s="15" t="str">
        <f t="shared" si="205"/>
        <v/>
      </c>
      <c r="AK208" s="15" t="str">
        <f t="shared" si="205"/>
        <v/>
      </c>
      <c r="AL208" s="15" t="str">
        <f t="shared" si="205"/>
        <v/>
      </c>
      <c r="AM208" s="15" t="str">
        <f t="shared" si="205"/>
        <v/>
      </c>
      <c r="AN208" s="15" t="str">
        <f t="shared" si="205"/>
        <v/>
      </c>
      <c r="AO208" s="15" t="str">
        <f t="shared" si="205"/>
        <v/>
      </c>
      <c r="AP208" s="15" t="str">
        <f t="shared" si="205"/>
        <v/>
      </c>
      <c r="AQ208" s="15" t="str">
        <f t="shared" si="205"/>
        <v/>
      </c>
      <c r="AR208" s="15" t="str">
        <f t="shared" si="205"/>
        <v/>
      </c>
      <c r="AS208" s="15" t="str">
        <f t="shared" si="205"/>
        <v/>
      </c>
      <c r="AT208" s="15" t="str">
        <f t="shared" si="205"/>
        <v/>
      </c>
      <c r="AU208" s="15" t="str">
        <f t="shared" si="205"/>
        <v/>
      </c>
      <c r="AV208" s="15" t="str">
        <f t="shared" si="205"/>
        <v/>
      </c>
      <c r="AW208" s="15" t="str">
        <f t="shared" si="205"/>
        <v/>
      </c>
      <c r="AX208" s="15" t="str">
        <f t="shared" si="205"/>
        <v/>
      </c>
      <c r="AY208" s="15" t="str">
        <f t="shared" si="205"/>
        <v/>
      </c>
    </row>
    <row r="209" ht="18.0" customHeight="1">
      <c r="A209" s="13" t="str">
        <f t="shared" si="1"/>
        <v/>
      </c>
      <c r="B209" s="13" t="str">
        <f t="shared" si="2"/>
        <v/>
      </c>
      <c r="C209" s="12" t="str">
        <f t="shared" si="3"/>
        <v/>
      </c>
      <c r="D209" s="12" t="str">
        <f t="shared" si="4"/>
        <v/>
      </c>
      <c r="E209" s="12" t="str">
        <f t="shared" si="5"/>
        <v/>
      </c>
      <c r="F209" s="12" t="str">
        <f t="shared" si="6"/>
        <v/>
      </c>
      <c r="G209" s="12" t="str">
        <f t="shared" si="7"/>
        <v/>
      </c>
      <c r="H209" s="12" t="str">
        <f t="shared" si="8"/>
        <v/>
      </c>
      <c r="I209" s="12" t="str">
        <f t="shared" si="9"/>
        <v/>
      </c>
      <c r="J209" s="12" t="str">
        <f t="shared" si="10"/>
        <v/>
      </c>
      <c r="L209" s="15" t="str">
        <f t="shared" ref="L209:AY209" si="206">IF(L$13="","",IF(AND(L$13&gt;$H208,L$13&lt;=$I208),IF(AND(MOD($B$6,2)=1,L$13=ROUNDUP($J208,0)),"0",IF(L$13=INT($H208)+1,ROUNDDOWN(ABS(L$13-$J208),0),IF(L$13=INT($I208),ROUNDUP(ABS(L$13-$J208),0),""))),""))</f>
        <v/>
      </c>
      <c r="M209" s="15" t="str">
        <f t="shared" si="206"/>
        <v/>
      </c>
      <c r="N209" s="15" t="str">
        <f t="shared" si="206"/>
        <v/>
      </c>
      <c r="O209" s="15" t="str">
        <f t="shared" si="206"/>
        <v/>
      </c>
      <c r="P209" s="15" t="str">
        <f t="shared" si="206"/>
        <v/>
      </c>
      <c r="Q209" s="15" t="str">
        <f t="shared" si="206"/>
        <v/>
      </c>
      <c r="R209" s="15" t="str">
        <f t="shared" si="206"/>
        <v/>
      </c>
      <c r="S209" s="15" t="str">
        <f t="shared" si="206"/>
        <v/>
      </c>
      <c r="T209" s="15" t="str">
        <f t="shared" si="206"/>
        <v/>
      </c>
      <c r="U209" s="15" t="str">
        <f t="shared" si="206"/>
        <v/>
      </c>
      <c r="V209" s="15" t="str">
        <f t="shared" si="206"/>
        <v/>
      </c>
      <c r="W209" s="15" t="str">
        <f t="shared" si="206"/>
        <v/>
      </c>
      <c r="X209" s="15" t="str">
        <f t="shared" si="206"/>
        <v/>
      </c>
      <c r="Y209" s="15" t="str">
        <f t="shared" si="206"/>
        <v/>
      </c>
      <c r="Z209" s="15" t="str">
        <f t="shared" si="206"/>
        <v/>
      </c>
      <c r="AA209" s="15" t="str">
        <f t="shared" si="206"/>
        <v/>
      </c>
      <c r="AB209" s="15" t="str">
        <f t="shared" si="206"/>
        <v/>
      </c>
      <c r="AC209" s="15" t="str">
        <f t="shared" si="206"/>
        <v/>
      </c>
      <c r="AD209" s="15" t="str">
        <f t="shared" si="206"/>
        <v/>
      </c>
      <c r="AE209" s="15" t="str">
        <f t="shared" si="206"/>
        <v/>
      </c>
      <c r="AF209" s="15" t="str">
        <f t="shared" si="206"/>
        <v/>
      </c>
      <c r="AG209" s="15" t="str">
        <f t="shared" si="206"/>
        <v/>
      </c>
      <c r="AH209" s="15" t="str">
        <f t="shared" si="206"/>
        <v/>
      </c>
      <c r="AI209" s="15" t="str">
        <f t="shared" si="206"/>
        <v/>
      </c>
      <c r="AJ209" s="15" t="str">
        <f t="shared" si="206"/>
        <v/>
      </c>
      <c r="AK209" s="15" t="str">
        <f t="shared" si="206"/>
        <v/>
      </c>
      <c r="AL209" s="15" t="str">
        <f t="shared" si="206"/>
        <v/>
      </c>
      <c r="AM209" s="15" t="str">
        <f t="shared" si="206"/>
        <v/>
      </c>
      <c r="AN209" s="15" t="str">
        <f t="shared" si="206"/>
        <v/>
      </c>
      <c r="AO209" s="15" t="str">
        <f t="shared" si="206"/>
        <v/>
      </c>
      <c r="AP209" s="15" t="str">
        <f t="shared" si="206"/>
        <v/>
      </c>
      <c r="AQ209" s="15" t="str">
        <f t="shared" si="206"/>
        <v/>
      </c>
      <c r="AR209" s="15" t="str">
        <f t="shared" si="206"/>
        <v/>
      </c>
      <c r="AS209" s="15" t="str">
        <f t="shared" si="206"/>
        <v/>
      </c>
      <c r="AT209" s="15" t="str">
        <f t="shared" si="206"/>
        <v/>
      </c>
      <c r="AU209" s="15" t="str">
        <f t="shared" si="206"/>
        <v/>
      </c>
      <c r="AV209" s="15" t="str">
        <f t="shared" si="206"/>
        <v/>
      </c>
      <c r="AW209" s="15" t="str">
        <f t="shared" si="206"/>
        <v/>
      </c>
      <c r="AX209" s="15" t="str">
        <f t="shared" si="206"/>
        <v/>
      </c>
      <c r="AY209" s="15" t="str">
        <f t="shared" si="206"/>
        <v/>
      </c>
    </row>
    <row r="210" ht="18.0" customHeight="1">
      <c r="A210" s="13" t="str">
        <f t="shared" si="1"/>
        <v/>
      </c>
      <c r="B210" s="13" t="str">
        <f t="shared" si="2"/>
        <v/>
      </c>
      <c r="C210" s="12" t="str">
        <f t="shared" si="3"/>
        <v/>
      </c>
      <c r="D210" s="12" t="str">
        <f t="shared" si="4"/>
        <v/>
      </c>
      <c r="E210" s="12" t="str">
        <f t="shared" si="5"/>
        <v/>
      </c>
      <c r="F210" s="12" t="str">
        <f t="shared" si="6"/>
        <v/>
      </c>
      <c r="G210" s="12" t="str">
        <f t="shared" si="7"/>
        <v/>
      </c>
      <c r="H210" s="12" t="str">
        <f t="shared" si="8"/>
        <v/>
      </c>
      <c r="I210" s="12" t="str">
        <f t="shared" si="9"/>
        <v/>
      </c>
      <c r="J210" s="12" t="str">
        <f t="shared" si="10"/>
        <v/>
      </c>
      <c r="L210" s="15" t="str">
        <f t="shared" ref="L210:AY210" si="207">IF(L$13="","",IF(AND(L$13&gt;$H209,L$13&lt;=$I209),IF(AND(MOD($B$6,2)=1,L$13=ROUNDUP($J209,0)),"0",IF(L$13=INT($H209)+1,ROUNDDOWN(ABS(L$13-$J209),0),IF(L$13=INT($I209),ROUNDUP(ABS(L$13-$J209),0),""))),""))</f>
        <v/>
      </c>
      <c r="M210" s="15" t="str">
        <f t="shared" si="207"/>
        <v/>
      </c>
      <c r="N210" s="15" t="str">
        <f t="shared" si="207"/>
        <v/>
      </c>
      <c r="O210" s="15" t="str">
        <f t="shared" si="207"/>
        <v/>
      </c>
      <c r="P210" s="15" t="str">
        <f t="shared" si="207"/>
        <v/>
      </c>
      <c r="Q210" s="15" t="str">
        <f t="shared" si="207"/>
        <v/>
      </c>
      <c r="R210" s="15" t="str">
        <f t="shared" si="207"/>
        <v/>
      </c>
      <c r="S210" s="15" t="str">
        <f t="shared" si="207"/>
        <v/>
      </c>
      <c r="T210" s="15" t="str">
        <f t="shared" si="207"/>
        <v/>
      </c>
      <c r="U210" s="15" t="str">
        <f t="shared" si="207"/>
        <v/>
      </c>
      <c r="V210" s="15" t="str">
        <f t="shared" si="207"/>
        <v/>
      </c>
      <c r="W210" s="15" t="str">
        <f t="shared" si="207"/>
        <v/>
      </c>
      <c r="X210" s="15" t="str">
        <f t="shared" si="207"/>
        <v/>
      </c>
      <c r="Y210" s="15" t="str">
        <f t="shared" si="207"/>
        <v/>
      </c>
      <c r="Z210" s="15" t="str">
        <f t="shared" si="207"/>
        <v/>
      </c>
      <c r="AA210" s="15" t="str">
        <f t="shared" si="207"/>
        <v/>
      </c>
      <c r="AB210" s="15" t="str">
        <f t="shared" si="207"/>
        <v/>
      </c>
      <c r="AC210" s="15" t="str">
        <f t="shared" si="207"/>
        <v/>
      </c>
      <c r="AD210" s="15" t="str">
        <f t="shared" si="207"/>
        <v/>
      </c>
      <c r="AE210" s="15" t="str">
        <f t="shared" si="207"/>
        <v/>
      </c>
      <c r="AF210" s="15" t="str">
        <f t="shared" si="207"/>
        <v/>
      </c>
      <c r="AG210" s="15" t="str">
        <f t="shared" si="207"/>
        <v/>
      </c>
      <c r="AH210" s="15" t="str">
        <f t="shared" si="207"/>
        <v/>
      </c>
      <c r="AI210" s="15" t="str">
        <f t="shared" si="207"/>
        <v/>
      </c>
      <c r="AJ210" s="15" t="str">
        <f t="shared" si="207"/>
        <v/>
      </c>
      <c r="AK210" s="15" t="str">
        <f t="shared" si="207"/>
        <v/>
      </c>
      <c r="AL210" s="15" t="str">
        <f t="shared" si="207"/>
        <v/>
      </c>
      <c r="AM210" s="15" t="str">
        <f t="shared" si="207"/>
        <v/>
      </c>
      <c r="AN210" s="15" t="str">
        <f t="shared" si="207"/>
        <v/>
      </c>
      <c r="AO210" s="15" t="str">
        <f t="shared" si="207"/>
        <v/>
      </c>
      <c r="AP210" s="15" t="str">
        <f t="shared" si="207"/>
        <v/>
      </c>
      <c r="AQ210" s="15" t="str">
        <f t="shared" si="207"/>
        <v/>
      </c>
      <c r="AR210" s="15" t="str">
        <f t="shared" si="207"/>
        <v/>
      </c>
      <c r="AS210" s="15" t="str">
        <f t="shared" si="207"/>
        <v/>
      </c>
      <c r="AT210" s="15" t="str">
        <f t="shared" si="207"/>
        <v/>
      </c>
      <c r="AU210" s="15" t="str">
        <f t="shared" si="207"/>
        <v/>
      </c>
      <c r="AV210" s="15" t="str">
        <f t="shared" si="207"/>
        <v/>
      </c>
      <c r="AW210" s="15" t="str">
        <f t="shared" si="207"/>
        <v/>
      </c>
      <c r="AX210" s="15" t="str">
        <f t="shared" si="207"/>
        <v/>
      </c>
      <c r="AY210" s="15" t="str">
        <f t="shared" si="207"/>
        <v/>
      </c>
    </row>
    <row r="211" ht="18.0" customHeight="1">
      <c r="A211" s="13" t="str">
        <f t="shared" si="1"/>
        <v/>
      </c>
      <c r="B211" s="13" t="str">
        <f t="shared" si="2"/>
        <v/>
      </c>
      <c r="C211" s="12" t="str">
        <f t="shared" si="3"/>
        <v/>
      </c>
      <c r="D211" s="12" t="str">
        <f t="shared" si="4"/>
        <v/>
      </c>
      <c r="E211" s="12" t="str">
        <f t="shared" si="5"/>
        <v/>
      </c>
      <c r="F211" s="12" t="str">
        <f t="shared" si="6"/>
        <v/>
      </c>
      <c r="G211" s="12" t="str">
        <f t="shared" si="7"/>
        <v/>
      </c>
      <c r="H211" s="12" t="str">
        <f t="shared" si="8"/>
        <v/>
      </c>
      <c r="I211" s="12" t="str">
        <f t="shared" si="9"/>
        <v/>
      </c>
      <c r="J211" s="12" t="str">
        <f t="shared" si="10"/>
        <v/>
      </c>
      <c r="L211" s="15" t="str">
        <f t="shared" ref="L211:AY211" si="208">IF(L$13="","",IF(AND(L$13&gt;$H210,L$13&lt;=$I210),IF(AND(MOD($B$6,2)=1,L$13=ROUNDUP($J210,0)),"0",IF(L$13=INT($H210)+1,ROUNDDOWN(ABS(L$13-$J210),0),IF(L$13=INT($I210),ROUNDUP(ABS(L$13-$J210),0),""))),""))</f>
        <v/>
      </c>
      <c r="M211" s="15" t="str">
        <f t="shared" si="208"/>
        <v/>
      </c>
      <c r="N211" s="15" t="str">
        <f t="shared" si="208"/>
        <v/>
      </c>
      <c r="O211" s="15" t="str">
        <f t="shared" si="208"/>
        <v/>
      </c>
      <c r="P211" s="15" t="str">
        <f t="shared" si="208"/>
        <v/>
      </c>
      <c r="Q211" s="15" t="str">
        <f t="shared" si="208"/>
        <v/>
      </c>
      <c r="R211" s="15" t="str">
        <f t="shared" si="208"/>
        <v/>
      </c>
      <c r="S211" s="15" t="str">
        <f t="shared" si="208"/>
        <v/>
      </c>
      <c r="T211" s="15" t="str">
        <f t="shared" si="208"/>
        <v/>
      </c>
      <c r="U211" s="15" t="str">
        <f t="shared" si="208"/>
        <v/>
      </c>
      <c r="V211" s="15" t="str">
        <f t="shared" si="208"/>
        <v/>
      </c>
      <c r="W211" s="15" t="str">
        <f t="shared" si="208"/>
        <v/>
      </c>
      <c r="X211" s="15" t="str">
        <f t="shared" si="208"/>
        <v/>
      </c>
      <c r="Y211" s="15" t="str">
        <f t="shared" si="208"/>
        <v/>
      </c>
      <c r="Z211" s="15" t="str">
        <f t="shared" si="208"/>
        <v/>
      </c>
      <c r="AA211" s="15" t="str">
        <f t="shared" si="208"/>
        <v/>
      </c>
      <c r="AB211" s="15" t="str">
        <f t="shared" si="208"/>
        <v/>
      </c>
      <c r="AC211" s="15" t="str">
        <f t="shared" si="208"/>
        <v/>
      </c>
      <c r="AD211" s="15" t="str">
        <f t="shared" si="208"/>
        <v/>
      </c>
      <c r="AE211" s="15" t="str">
        <f t="shared" si="208"/>
        <v/>
      </c>
      <c r="AF211" s="15" t="str">
        <f t="shared" si="208"/>
        <v/>
      </c>
      <c r="AG211" s="15" t="str">
        <f t="shared" si="208"/>
        <v/>
      </c>
      <c r="AH211" s="15" t="str">
        <f t="shared" si="208"/>
        <v/>
      </c>
      <c r="AI211" s="15" t="str">
        <f t="shared" si="208"/>
        <v/>
      </c>
      <c r="AJ211" s="15" t="str">
        <f t="shared" si="208"/>
        <v/>
      </c>
      <c r="AK211" s="15" t="str">
        <f t="shared" si="208"/>
        <v/>
      </c>
      <c r="AL211" s="15" t="str">
        <f t="shared" si="208"/>
        <v/>
      </c>
      <c r="AM211" s="15" t="str">
        <f t="shared" si="208"/>
        <v/>
      </c>
      <c r="AN211" s="15" t="str">
        <f t="shared" si="208"/>
        <v/>
      </c>
      <c r="AO211" s="15" t="str">
        <f t="shared" si="208"/>
        <v/>
      </c>
      <c r="AP211" s="15" t="str">
        <f t="shared" si="208"/>
        <v/>
      </c>
      <c r="AQ211" s="15" t="str">
        <f t="shared" si="208"/>
        <v/>
      </c>
      <c r="AR211" s="15" t="str">
        <f t="shared" si="208"/>
        <v/>
      </c>
      <c r="AS211" s="15" t="str">
        <f t="shared" si="208"/>
        <v/>
      </c>
      <c r="AT211" s="15" t="str">
        <f t="shared" si="208"/>
        <v/>
      </c>
      <c r="AU211" s="15" t="str">
        <f t="shared" si="208"/>
        <v/>
      </c>
      <c r="AV211" s="15" t="str">
        <f t="shared" si="208"/>
        <v/>
      </c>
      <c r="AW211" s="15" t="str">
        <f t="shared" si="208"/>
        <v/>
      </c>
      <c r="AX211" s="15" t="str">
        <f t="shared" si="208"/>
        <v/>
      </c>
      <c r="AY211" s="15" t="str">
        <f t="shared" si="208"/>
        <v/>
      </c>
    </row>
    <row r="212" ht="18.0" customHeight="1">
      <c r="A212" s="13" t="str">
        <f t="shared" si="1"/>
        <v/>
      </c>
      <c r="B212" s="13" t="str">
        <f t="shared" si="2"/>
        <v/>
      </c>
      <c r="C212" s="12" t="str">
        <f t="shared" si="3"/>
        <v/>
      </c>
      <c r="D212" s="12" t="str">
        <f t="shared" si="4"/>
        <v/>
      </c>
      <c r="E212" s="12" t="str">
        <f t="shared" si="5"/>
        <v/>
      </c>
      <c r="F212" s="12" t="str">
        <f t="shared" si="6"/>
        <v/>
      </c>
      <c r="G212" s="12" t="str">
        <f t="shared" si="7"/>
        <v/>
      </c>
      <c r="H212" s="12" t="str">
        <f t="shared" si="8"/>
        <v/>
      </c>
      <c r="I212" s="12" t="str">
        <f t="shared" si="9"/>
        <v/>
      </c>
      <c r="J212" s="12" t="str">
        <f t="shared" si="10"/>
        <v/>
      </c>
      <c r="L212" s="15" t="str">
        <f t="shared" ref="L212:AY212" si="209">IF(L$13="","",IF(AND(L$13&gt;$H211,L$13&lt;=$I211),IF(AND(MOD($B$6,2)=1,L$13=ROUNDUP($J211,0)),"0",IF(L$13=INT($H211)+1,ROUNDDOWN(ABS(L$13-$J211),0),IF(L$13=INT($I211),ROUNDUP(ABS(L$13-$J211),0),""))),""))</f>
        <v/>
      </c>
      <c r="M212" s="15" t="str">
        <f t="shared" si="209"/>
        <v/>
      </c>
      <c r="N212" s="15" t="str">
        <f t="shared" si="209"/>
        <v/>
      </c>
      <c r="O212" s="15" t="str">
        <f t="shared" si="209"/>
        <v/>
      </c>
      <c r="P212" s="15" t="str">
        <f t="shared" si="209"/>
        <v/>
      </c>
      <c r="Q212" s="15" t="str">
        <f t="shared" si="209"/>
        <v/>
      </c>
      <c r="R212" s="15" t="str">
        <f t="shared" si="209"/>
        <v/>
      </c>
      <c r="S212" s="15" t="str">
        <f t="shared" si="209"/>
        <v/>
      </c>
      <c r="T212" s="15" t="str">
        <f t="shared" si="209"/>
        <v/>
      </c>
      <c r="U212" s="15" t="str">
        <f t="shared" si="209"/>
        <v/>
      </c>
      <c r="V212" s="15" t="str">
        <f t="shared" si="209"/>
        <v/>
      </c>
      <c r="W212" s="15" t="str">
        <f t="shared" si="209"/>
        <v/>
      </c>
      <c r="X212" s="15" t="str">
        <f t="shared" si="209"/>
        <v/>
      </c>
      <c r="Y212" s="15" t="str">
        <f t="shared" si="209"/>
        <v/>
      </c>
      <c r="Z212" s="15" t="str">
        <f t="shared" si="209"/>
        <v/>
      </c>
      <c r="AA212" s="15" t="str">
        <f t="shared" si="209"/>
        <v/>
      </c>
      <c r="AB212" s="15" t="str">
        <f t="shared" si="209"/>
        <v/>
      </c>
      <c r="AC212" s="15" t="str">
        <f t="shared" si="209"/>
        <v/>
      </c>
      <c r="AD212" s="15" t="str">
        <f t="shared" si="209"/>
        <v/>
      </c>
      <c r="AE212" s="15" t="str">
        <f t="shared" si="209"/>
        <v/>
      </c>
      <c r="AF212" s="15" t="str">
        <f t="shared" si="209"/>
        <v/>
      </c>
      <c r="AG212" s="15" t="str">
        <f t="shared" si="209"/>
        <v/>
      </c>
      <c r="AH212" s="15" t="str">
        <f t="shared" si="209"/>
        <v/>
      </c>
      <c r="AI212" s="15" t="str">
        <f t="shared" si="209"/>
        <v/>
      </c>
      <c r="AJ212" s="15" t="str">
        <f t="shared" si="209"/>
        <v/>
      </c>
      <c r="AK212" s="15" t="str">
        <f t="shared" si="209"/>
        <v/>
      </c>
      <c r="AL212" s="15" t="str">
        <f t="shared" si="209"/>
        <v/>
      </c>
      <c r="AM212" s="15" t="str">
        <f t="shared" si="209"/>
        <v/>
      </c>
      <c r="AN212" s="15" t="str">
        <f t="shared" si="209"/>
        <v/>
      </c>
      <c r="AO212" s="15" t="str">
        <f t="shared" si="209"/>
        <v/>
      </c>
      <c r="AP212" s="15" t="str">
        <f t="shared" si="209"/>
        <v/>
      </c>
      <c r="AQ212" s="15" t="str">
        <f t="shared" si="209"/>
        <v/>
      </c>
      <c r="AR212" s="15" t="str">
        <f t="shared" si="209"/>
        <v/>
      </c>
      <c r="AS212" s="15" t="str">
        <f t="shared" si="209"/>
        <v/>
      </c>
      <c r="AT212" s="15" t="str">
        <f t="shared" si="209"/>
        <v/>
      </c>
      <c r="AU212" s="15" t="str">
        <f t="shared" si="209"/>
        <v/>
      </c>
      <c r="AV212" s="15" t="str">
        <f t="shared" si="209"/>
        <v/>
      </c>
      <c r="AW212" s="15" t="str">
        <f t="shared" si="209"/>
        <v/>
      </c>
      <c r="AX212" s="15" t="str">
        <f t="shared" si="209"/>
        <v/>
      </c>
      <c r="AY212" s="15" t="str">
        <f t="shared" si="209"/>
        <v/>
      </c>
    </row>
    <row r="213" ht="18.0" customHeight="1">
      <c r="A213" s="13" t="str">
        <f t="shared" si="1"/>
        <v/>
      </c>
      <c r="B213" s="13" t="str">
        <f t="shared" si="2"/>
        <v/>
      </c>
      <c r="C213" s="12" t="str">
        <f t="shared" si="3"/>
        <v/>
      </c>
      <c r="D213" s="12" t="str">
        <f t="shared" si="4"/>
        <v/>
      </c>
      <c r="E213" s="12" t="str">
        <f t="shared" si="5"/>
        <v/>
      </c>
      <c r="F213" s="12" t="str">
        <f t="shared" si="6"/>
        <v/>
      </c>
      <c r="G213" s="12" t="str">
        <f t="shared" si="7"/>
        <v/>
      </c>
      <c r="H213" s="12" t="str">
        <f t="shared" si="8"/>
        <v/>
      </c>
      <c r="I213" s="12" t="str">
        <f t="shared" si="9"/>
        <v/>
      </c>
      <c r="J213" s="12" t="str">
        <f t="shared" si="10"/>
        <v/>
      </c>
      <c r="L213" s="15" t="str">
        <f t="shared" ref="L213:AY213" si="210">IF(L$13="","",IF(AND(L$13&gt;$H212,L$13&lt;=$I212),IF(AND(MOD($B$6,2)=1,L$13=ROUNDUP($J212,0)),"0",IF(L$13=INT($H212)+1,ROUNDDOWN(ABS(L$13-$J212),0),IF(L$13=INT($I212),ROUNDUP(ABS(L$13-$J212),0),""))),""))</f>
        <v/>
      </c>
      <c r="M213" s="15" t="str">
        <f t="shared" si="210"/>
        <v/>
      </c>
      <c r="N213" s="15" t="str">
        <f t="shared" si="210"/>
        <v/>
      </c>
      <c r="O213" s="15" t="str">
        <f t="shared" si="210"/>
        <v/>
      </c>
      <c r="P213" s="15" t="str">
        <f t="shared" si="210"/>
        <v/>
      </c>
      <c r="Q213" s="15" t="str">
        <f t="shared" si="210"/>
        <v/>
      </c>
      <c r="R213" s="15" t="str">
        <f t="shared" si="210"/>
        <v/>
      </c>
      <c r="S213" s="15" t="str">
        <f t="shared" si="210"/>
        <v/>
      </c>
      <c r="T213" s="15" t="str">
        <f t="shared" si="210"/>
        <v/>
      </c>
      <c r="U213" s="15" t="str">
        <f t="shared" si="210"/>
        <v/>
      </c>
      <c r="V213" s="15" t="str">
        <f t="shared" si="210"/>
        <v/>
      </c>
      <c r="W213" s="15" t="str">
        <f t="shared" si="210"/>
        <v/>
      </c>
      <c r="X213" s="15" t="str">
        <f t="shared" si="210"/>
        <v/>
      </c>
      <c r="Y213" s="15" t="str">
        <f t="shared" si="210"/>
        <v/>
      </c>
      <c r="Z213" s="15" t="str">
        <f t="shared" si="210"/>
        <v/>
      </c>
      <c r="AA213" s="15" t="str">
        <f t="shared" si="210"/>
        <v/>
      </c>
      <c r="AB213" s="15" t="str">
        <f t="shared" si="210"/>
        <v/>
      </c>
      <c r="AC213" s="15" t="str">
        <f t="shared" si="210"/>
        <v/>
      </c>
      <c r="AD213" s="15" t="str">
        <f t="shared" si="210"/>
        <v/>
      </c>
      <c r="AE213" s="15" t="str">
        <f t="shared" si="210"/>
        <v/>
      </c>
      <c r="AF213" s="15" t="str">
        <f t="shared" si="210"/>
        <v/>
      </c>
      <c r="AG213" s="15" t="str">
        <f t="shared" si="210"/>
        <v/>
      </c>
      <c r="AH213" s="15" t="str">
        <f t="shared" si="210"/>
        <v/>
      </c>
      <c r="AI213" s="15" t="str">
        <f t="shared" si="210"/>
        <v/>
      </c>
      <c r="AJ213" s="15" t="str">
        <f t="shared" si="210"/>
        <v/>
      </c>
      <c r="AK213" s="15" t="str">
        <f t="shared" si="210"/>
        <v/>
      </c>
      <c r="AL213" s="15" t="str">
        <f t="shared" si="210"/>
        <v/>
      </c>
      <c r="AM213" s="15" t="str">
        <f t="shared" si="210"/>
        <v/>
      </c>
      <c r="AN213" s="15" t="str">
        <f t="shared" si="210"/>
        <v/>
      </c>
      <c r="AO213" s="15" t="str">
        <f t="shared" si="210"/>
        <v/>
      </c>
      <c r="AP213" s="15" t="str">
        <f t="shared" si="210"/>
        <v/>
      </c>
      <c r="AQ213" s="15" t="str">
        <f t="shared" si="210"/>
        <v/>
      </c>
      <c r="AR213" s="15" t="str">
        <f t="shared" si="210"/>
        <v/>
      </c>
      <c r="AS213" s="15" t="str">
        <f t="shared" si="210"/>
        <v/>
      </c>
      <c r="AT213" s="15" t="str">
        <f t="shared" si="210"/>
        <v/>
      </c>
      <c r="AU213" s="15" t="str">
        <f t="shared" si="210"/>
        <v/>
      </c>
      <c r="AV213" s="15" t="str">
        <f t="shared" si="210"/>
        <v/>
      </c>
      <c r="AW213" s="15" t="str">
        <f t="shared" si="210"/>
        <v/>
      </c>
      <c r="AX213" s="15" t="str">
        <f t="shared" si="210"/>
        <v/>
      </c>
      <c r="AY213" s="15" t="str">
        <f t="shared" si="210"/>
        <v/>
      </c>
    </row>
    <row r="214" ht="18.0" customHeight="1">
      <c r="A214" s="13" t="str">
        <f t="shared" si="1"/>
        <v/>
      </c>
      <c r="B214" s="13" t="str">
        <f t="shared" si="2"/>
        <v/>
      </c>
      <c r="C214" s="12" t="str">
        <f t="shared" si="3"/>
        <v/>
      </c>
      <c r="D214" s="12" t="str">
        <f t="shared" si="4"/>
        <v/>
      </c>
      <c r="E214" s="12" t="str">
        <f t="shared" si="5"/>
        <v/>
      </c>
      <c r="F214" s="12" t="str">
        <f t="shared" si="6"/>
        <v/>
      </c>
      <c r="G214" s="12" t="str">
        <f t="shared" si="7"/>
        <v/>
      </c>
      <c r="H214" s="12" t="str">
        <f t="shared" si="8"/>
        <v/>
      </c>
      <c r="I214" s="12" t="str">
        <f t="shared" si="9"/>
        <v/>
      </c>
      <c r="J214" s="12" t="str">
        <f t="shared" si="10"/>
        <v/>
      </c>
      <c r="L214" s="15" t="str">
        <f t="shared" ref="L214:AY214" si="211">IF(L$13="","",IF(AND(L$13&gt;$H213,L$13&lt;=$I213),IF(AND(MOD($B$6,2)=1,L$13=ROUNDUP($J213,0)),"0",IF(L$13=INT($H213)+1,ROUNDDOWN(ABS(L$13-$J213),0),IF(L$13=INT($I213),ROUNDUP(ABS(L$13-$J213),0),""))),""))</f>
        <v/>
      </c>
      <c r="M214" s="15" t="str">
        <f t="shared" si="211"/>
        <v/>
      </c>
      <c r="N214" s="15" t="str">
        <f t="shared" si="211"/>
        <v/>
      </c>
      <c r="O214" s="15" t="str">
        <f t="shared" si="211"/>
        <v/>
      </c>
      <c r="P214" s="15" t="str">
        <f t="shared" si="211"/>
        <v/>
      </c>
      <c r="Q214" s="15" t="str">
        <f t="shared" si="211"/>
        <v/>
      </c>
      <c r="R214" s="15" t="str">
        <f t="shared" si="211"/>
        <v/>
      </c>
      <c r="S214" s="15" t="str">
        <f t="shared" si="211"/>
        <v/>
      </c>
      <c r="T214" s="15" t="str">
        <f t="shared" si="211"/>
        <v/>
      </c>
      <c r="U214" s="15" t="str">
        <f t="shared" si="211"/>
        <v/>
      </c>
      <c r="V214" s="15" t="str">
        <f t="shared" si="211"/>
        <v/>
      </c>
      <c r="W214" s="15" t="str">
        <f t="shared" si="211"/>
        <v/>
      </c>
      <c r="X214" s="15" t="str">
        <f t="shared" si="211"/>
        <v/>
      </c>
      <c r="Y214" s="15" t="str">
        <f t="shared" si="211"/>
        <v/>
      </c>
      <c r="Z214" s="15" t="str">
        <f t="shared" si="211"/>
        <v/>
      </c>
      <c r="AA214" s="15" t="str">
        <f t="shared" si="211"/>
        <v/>
      </c>
      <c r="AB214" s="15" t="str">
        <f t="shared" si="211"/>
        <v/>
      </c>
      <c r="AC214" s="15" t="str">
        <f t="shared" si="211"/>
        <v/>
      </c>
      <c r="AD214" s="15" t="str">
        <f t="shared" si="211"/>
        <v/>
      </c>
      <c r="AE214" s="15" t="str">
        <f t="shared" si="211"/>
        <v/>
      </c>
      <c r="AF214" s="15" t="str">
        <f t="shared" si="211"/>
        <v/>
      </c>
      <c r="AG214" s="15" t="str">
        <f t="shared" si="211"/>
        <v/>
      </c>
      <c r="AH214" s="15" t="str">
        <f t="shared" si="211"/>
        <v/>
      </c>
      <c r="AI214" s="15" t="str">
        <f t="shared" si="211"/>
        <v/>
      </c>
      <c r="AJ214" s="15" t="str">
        <f t="shared" si="211"/>
        <v/>
      </c>
      <c r="AK214" s="15" t="str">
        <f t="shared" si="211"/>
        <v/>
      </c>
      <c r="AL214" s="15" t="str">
        <f t="shared" si="211"/>
        <v/>
      </c>
      <c r="AM214" s="15" t="str">
        <f t="shared" si="211"/>
        <v/>
      </c>
      <c r="AN214" s="15" t="str">
        <f t="shared" si="211"/>
        <v/>
      </c>
      <c r="AO214" s="15" t="str">
        <f t="shared" si="211"/>
        <v/>
      </c>
      <c r="AP214" s="15" t="str">
        <f t="shared" si="211"/>
        <v/>
      </c>
      <c r="AQ214" s="15" t="str">
        <f t="shared" si="211"/>
        <v/>
      </c>
      <c r="AR214" s="15" t="str">
        <f t="shared" si="211"/>
        <v/>
      </c>
      <c r="AS214" s="15" t="str">
        <f t="shared" si="211"/>
        <v/>
      </c>
      <c r="AT214" s="15" t="str">
        <f t="shared" si="211"/>
        <v/>
      </c>
      <c r="AU214" s="15" t="str">
        <f t="shared" si="211"/>
        <v/>
      </c>
      <c r="AV214" s="15" t="str">
        <f t="shared" si="211"/>
        <v/>
      </c>
      <c r="AW214" s="15" t="str">
        <f t="shared" si="211"/>
        <v/>
      </c>
      <c r="AX214" s="15" t="str">
        <f t="shared" si="211"/>
        <v/>
      </c>
      <c r="AY214" s="15" t="str">
        <f t="shared" si="211"/>
        <v/>
      </c>
    </row>
    <row r="215" ht="18.0" customHeight="1">
      <c r="A215" s="13" t="str">
        <f t="shared" si="1"/>
        <v/>
      </c>
      <c r="B215" s="13" t="str">
        <f t="shared" si="2"/>
        <v/>
      </c>
      <c r="C215" s="12" t="str">
        <f t="shared" si="3"/>
        <v/>
      </c>
      <c r="D215" s="12" t="str">
        <f t="shared" si="4"/>
        <v/>
      </c>
      <c r="E215" s="12" t="str">
        <f t="shared" si="5"/>
        <v/>
      </c>
      <c r="F215" s="12" t="str">
        <f t="shared" si="6"/>
        <v/>
      </c>
      <c r="G215" s="12" t="str">
        <f t="shared" si="7"/>
        <v/>
      </c>
      <c r="H215" s="12" t="str">
        <f t="shared" si="8"/>
        <v/>
      </c>
      <c r="I215" s="12" t="str">
        <f t="shared" si="9"/>
        <v/>
      </c>
      <c r="J215" s="12" t="str">
        <f t="shared" si="10"/>
        <v/>
      </c>
      <c r="L215" s="15" t="str">
        <f t="shared" ref="L215:AY215" si="212">IF(L$13="","",IF(AND(L$13&gt;$H214,L$13&lt;=$I214),IF(AND(MOD($B$6,2)=1,L$13=ROUNDUP($J214,0)),"0",IF(L$13=INT($H214)+1,ROUNDDOWN(ABS(L$13-$J214),0),IF(L$13=INT($I214),ROUNDUP(ABS(L$13-$J214),0),""))),""))</f>
        <v/>
      </c>
      <c r="M215" s="15" t="str">
        <f t="shared" si="212"/>
        <v/>
      </c>
      <c r="N215" s="15" t="str">
        <f t="shared" si="212"/>
        <v/>
      </c>
      <c r="O215" s="15" t="str">
        <f t="shared" si="212"/>
        <v/>
      </c>
      <c r="P215" s="15" t="str">
        <f t="shared" si="212"/>
        <v/>
      </c>
      <c r="Q215" s="15" t="str">
        <f t="shared" si="212"/>
        <v/>
      </c>
      <c r="R215" s="15" t="str">
        <f t="shared" si="212"/>
        <v/>
      </c>
      <c r="S215" s="15" t="str">
        <f t="shared" si="212"/>
        <v/>
      </c>
      <c r="T215" s="15" t="str">
        <f t="shared" si="212"/>
        <v/>
      </c>
      <c r="U215" s="15" t="str">
        <f t="shared" si="212"/>
        <v/>
      </c>
      <c r="V215" s="15" t="str">
        <f t="shared" si="212"/>
        <v/>
      </c>
      <c r="W215" s="15" t="str">
        <f t="shared" si="212"/>
        <v/>
      </c>
      <c r="X215" s="15" t="str">
        <f t="shared" si="212"/>
        <v/>
      </c>
      <c r="Y215" s="15" t="str">
        <f t="shared" si="212"/>
        <v/>
      </c>
      <c r="Z215" s="15" t="str">
        <f t="shared" si="212"/>
        <v/>
      </c>
      <c r="AA215" s="15" t="str">
        <f t="shared" si="212"/>
        <v/>
      </c>
      <c r="AB215" s="15" t="str">
        <f t="shared" si="212"/>
        <v/>
      </c>
      <c r="AC215" s="15" t="str">
        <f t="shared" si="212"/>
        <v/>
      </c>
      <c r="AD215" s="15" t="str">
        <f t="shared" si="212"/>
        <v/>
      </c>
      <c r="AE215" s="15" t="str">
        <f t="shared" si="212"/>
        <v/>
      </c>
      <c r="AF215" s="15" t="str">
        <f t="shared" si="212"/>
        <v/>
      </c>
      <c r="AG215" s="15" t="str">
        <f t="shared" si="212"/>
        <v/>
      </c>
      <c r="AH215" s="15" t="str">
        <f t="shared" si="212"/>
        <v/>
      </c>
      <c r="AI215" s="15" t="str">
        <f t="shared" si="212"/>
        <v/>
      </c>
      <c r="AJ215" s="15" t="str">
        <f t="shared" si="212"/>
        <v/>
      </c>
      <c r="AK215" s="15" t="str">
        <f t="shared" si="212"/>
        <v/>
      </c>
      <c r="AL215" s="15" t="str">
        <f t="shared" si="212"/>
        <v/>
      </c>
      <c r="AM215" s="15" t="str">
        <f t="shared" si="212"/>
        <v/>
      </c>
      <c r="AN215" s="15" t="str">
        <f t="shared" si="212"/>
        <v/>
      </c>
      <c r="AO215" s="15" t="str">
        <f t="shared" si="212"/>
        <v/>
      </c>
      <c r="AP215" s="15" t="str">
        <f t="shared" si="212"/>
        <v/>
      </c>
      <c r="AQ215" s="15" t="str">
        <f t="shared" si="212"/>
        <v/>
      </c>
      <c r="AR215" s="15" t="str">
        <f t="shared" si="212"/>
        <v/>
      </c>
      <c r="AS215" s="15" t="str">
        <f t="shared" si="212"/>
        <v/>
      </c>
      <c r="AT215" s="15" t="str">
        <f t="shared" si="212"/>
        <v/>
      </c>
      <c r="AU215" s="15" t="str">
        <f t="shared" si="212"/>
        <v/>
      </c>
      <c r="AV215" s="15" t="str">
        <f t="shared" si="212"/>
        <v/>
      </c>
      <c r="AW215" s="15" t="str">
        <f t="shared" si="212"/>
        <v/>
      </c>
      <c r="AX215" s="15" t="str">
        <f t="shared" si="212"/>
        <v/>
      </c>
      <c r="AY215" s="15" t="str">
        <f t="shared" si="212"/>
        <v/>
      </c>
    </row>
    <row r="216" ht="18.0" customHeight="1">
      <c r="A216" s="13" t="str">
        <f t="shared" si="1"/>
        <v/>
      </c>
      <c r="B216" s="13" t="str">
        <f t="shared" si="2"/>
        <v/>
      </c>
      <c r="C216" s="12" t="str">
        <f t="shared" si="3"/>
        <v/>
      </c>
      <c r="D216" s="12" t="str">
        <f t="shared" si="4"/>
        <v/>
      </c>
      <c r="E216" s="12" t="str">
        <f t="shared" si="5"/>
        <v/>
      </c>
      <c r="F216" s="12" t="str">
        <f t="shared" si="6"/>
        <v/>
      </c>
      <c r="G216" s="12" t="str">
        <f t="shared" si="7"/>
        <v/>
      </c>
      <c r="H216" s="12" t="str">
        <f t="shared" si="8"/>
        <v/>
      </c>
      <c r="I216" s="12" t="str">
        <f t="shared" si="9"/>
        <v/>
      </c>
      <c r="J216" s="12" t="str">
        <f t="shared" si="10"/>
        <v/>
      </c>
      <c r="L216" s="15" t="str">
        <f t="shared" ref="L216:AY216" si="213">IF(L$13="","",IF(AND(L$13&gt;$H215,L$13&lt;=$I215),IF(AND(MOD($B$6,2)=1,L$13=ROUNDUP($J215,0)),"0",IF(L$13=INT($H215)+1,ROUNDDOWN(ABS(L$13-$J215),0),IF(L$13=INT($I215),ROUNDUP(ABS(L$13-$J215),0),""))),""))</f>
        <v/>
      </c>
      <c r="M216" s="15" t="str">
        <f t="shared" si="213"/>
        <v/>
      </c>
      <c r="N216" s="15" t="str">
        <f t="shared" si="213"/>
        <v/>
      </c>
      <c r="O216" s="15" t="str">
        <f t="shared" si="213"/>
        <v/>
      </c>
      <c r="P216" s="15" t="str">
        <f t="shared" si="213"/>
        <v/>
      </c>
      <c r="Q216" s="15" t="str">
        <f t="shared" si="213"/>
        <v/>
      </c>
      <c r="R216" s="15" t="str">
        <f t="shared" si="213"/>
        <v/>
      </c>
      <c r="S216" s="15" t="str">
        <f t="shared" si="213"/>
        <v/>
      </c>
      <c r="T216" s="15" t="str">
        <f t="shared" si="213"/>
        <v/>
      </c>
      <c r="U216" s="15" t="str">
        <f t="shared" si="213"/>
        <v/>
      </c>
      <c r="V216" s="15" t="str">
        <f t="shared" si="213"/>
        <v/>
      </c>
      <c r="W216" s="15" t="str">
        <f t="shared" si="213"/>
        <v/>
      </c>
      <c r="X216" s="15" t="str">
        <f t="shared" si="213"/>
        <v/>
      </c>
      <c r="Y216" s="15" t="str">
        <f t="shared" si="213"/>
        <v/>
      </c>
      <c r="Z216" s="15" t="str">
        <f t="shared" si="213"/>
        <v/>
      </c>
      <c r="AA216" s="15" t="str">
        <f t="shared" si="213"/>
        <v/>
      </c>
      <c r="AB216" s="15" t="str">
        <f t="shared" si="213"/>
        <v/>
      </c>
      <c r="AC216" s="15" t="str">
        <f t="shared" si="213"/>
        <v/>
      </c>
      <c r="AD216" s="15" t="str">
        <f t="shared" si="213"/>
        <v/>
      </c>
      <c r="AE216" s="15" t="str">
        <f t="shared" si="213"/>
        <v/>
      </c>
      <c r="AF216" s="15" t="str">
        <f t="shared" si="213"/>
        <v/>
      </c>
      <c r="AG216" s="15" t="str">
        <f t="shared" si="213"/>
        <v/>
      </c>
      <c r="AH216" s="15" t="str">
        <f t="shared" si="213"/>
        <v/>
      </c>
      <c r="AI216" s="15" t="str">
        <f t="shared" si="213"/>
        <v/>
      </c>
      <c r="AJ216" s="15" t="str">
        <f t="shared" si="213"/>
        <v/>
      </c>
      <c r="AK216" s="15" t="str">
        <f t="shared" si="213"/>
        <v/>
      </c>
      <c r="AL216" s="15" t="str">
        <f t="shared" si="213"/>
        <v/>
      </c>
      <c r="AM216" s="15" t="str">
        <f t="shared" si="213"/>
        <v/>
      </c>
      <c r="AN216" s="15" t="str">
        <f t="shared" si="213"/>
        <v/>
      </c>
      <c r="AO216" s="15" t="str">
        <f t="shared" si="213"/>
        <v/>
      </c>
      <c r="AP216" s="15" t="str">
        <f t="shared" si="213"/>
        <v/>
      </c>
      <c r="AQ216" s="15" t="str">
        <f t="shared" si="213"/>
        <v/>
      </c>
      <c r="AR216" s="15" t="str">
        <f t="shared" si="213"/>
        <v/>
      </c>
      <c r="AS216" s="15" t="str">
        <f t="shared" si="213"/>
        <v/>
      </c>
      <c r="AT216" s="15" t="str">
        <f t="shared" si="213"/>
        <v/>
      </c>
      <c r="AU216" s="15" t="str">
        <f t="shared" si="213"/>
        <v/>
      </c>
      <c r="AV216" s="15" t="str">
        <f t="shared" si="213"/>
        <v/>
      </c>
      <c r="AW216" s="15" t="str">
        <f t="shared" si="213"/>
        <v/>
      </c>
      <c r="AX216" s="15" t="str">
        <f t="shared" si="213"/>
        <v/>
      </c>
      <c r="AY216" s="15" t="str">
        <f t="shared" si="213"/>
        <v/>
      </c>
    </row>
    <row r="217" ht="18.0" customHeight="1">
      <c r="A217" s="13" t="str">
        <f t="shared" si="1"/>
        <v/>
      </c>
      <c r="B217" s="13" t="str">
        <f t="shared" si="2"/>
        <v/>
      </c>
      <c r="C217" s="12" t="str">
        <f t="shared" si="3"/>
        <v/>
      </c>
      <c r="D217" s="12" t="str">
        <f t="shared" si="4"/>
        <v/>
      </c>
      <c r="E217" s="12" t="str">
        <f t="shared" si="5"/>
        <v/>
      </c>
      <c r="F217" s="12" t="str">
        <f t="shared" si="6"/>
        <v/>
      </c>
      <c r="G217" s="12" t="str">
        <f t="shared" si="7"/>
        <v/>
      </c>
      <c r="H217" s="12" t="str">
        <f t="shared" si="8"/>
        <v/>
      </c>
      <c r="I217" s="12" t="str">
        <f t="shared" si="9"/>
        <v/>
      </c>
      <c r="J217" s="12" t="str">
        <f t="shared" si="10"/>
        <v/>
      </c>
      <c r="L217" s="15" t="str">
        <f t="shared" ref="L217:AY217" si="214">IF(L$13="","",IF(AND(L$13&gt;$H216,L$13&lt;=$I216),IF(AND(MOD($B$6,2)=1,L$13=ROUNDUP($J216,0)),"0",IF(L$13=INT($H216)+1,ROUNDDOWN(ABS(L$13-$J216),0),IF(L$13=INT($I216),ROUNDUP(ABS(L$13-$J216),0),""))),""))</f>
        <v/>
      </c>
      <c r="M217" s="15" t="str">
        <f t="shared" si="214"/>
        <v/>
      </c>
      <c r="N217" s="15" t="str">
        <f t="shared" si="214"/>
        <v/>
      </c>
      <c r="O217" s="15" t="str">
        <f t="shared" si="214"/>
        <v/>
      </c>
      <c r="P217" s="15" t="str">
        <f t="shared" si="214"/>
        <v/>
      </c>
      <c r="Q217" s="15" t="str">
        <f t="shared" si="214"/>
        <v/>
      </c>
      <c r="R217" s="15" t="str">
        <f t="shared" si="214"/>
        <v/>
      </c>
      <c r="S217" s="15" t="str">
        <f t="shared" si="214"/>
        <v/>
      </c>
      <c r="T217" s="15" t="str">
        <f t="shared" si="214"/>
        <v/>
      </c>
      <c r="U217" s="15" t="str">
        <f t="shared" si="214"/>
        <v/>
      </c>
      <c r="V217" s="15" t="str">
        <f t="shared" si="214"/>
        <v/>
      </c>
      <c r="W217" s="15" t="str">
        <f t="shared" si="214"/>
        <v/>
      </c>
      <c r="X217" s="15" t="str">
        <f t="shared" si="214"/>
        <v/>
      </c>
      <c r="Y217" s="15" t="str">
        <f t="shared" si="214"/>
        <v/>
      </c>
      <c r="Z217" s="15" t="str">
        <f t="shared" si="214"/>
        <v/>
      </c>
      <c r="AA217" s="15" t="str">
        <f t="shared" si="214"/>
        <v/>
      </c>
      <c r="AB217" s="15" t="str">
        <f t="shared" si="214"/>
        <v/>
      </c>
      <c r="AC217" s="15" t="str">
        <f t="shared" si="214"/>
        <v/>
      </c>
      <c r="AD217" s="15" t="str">
        <f t="shared" si="214"/>
        <v/>
      </c>
      <c r="AE217" s="15" t="str">
        <f t="shared" si="214"/>
        <v/>
      </c>
      <c r="AF217" s="15" t="str">
        <f t="shared" si="214"/>
        <v/>
      </c>
      <c r="AG217" s="15" t="str">
        <f t="shared" si="214"/>
        <v/>
      </c>
      <c r="AH217" s="15" t="str">
        <f t="shared" si="214"/>
        <v/>
      </c>
      <c r="AI217" s="15" t="str">
        <f t="shared" si="214"/>
        <v/>
      </c>
      <c r="AJ217" s="15" t="str">
        <f t="shared" si="214"/>
        <v/>
      </c>
      <c r="AK217" s="15" t="str">
        <f t="shared" si="214"/>
        <v/>
      </c>
      <c r="AL217" s="15" t="str">
        <f t="shared" si="214"/>
        <v/>
      </c>
      <c r="AM217" s="15" t="str">
        <f t="shared" si="214"/>
        <v/>
      </c>
      <c r="AN217" s="15" t="str">
        <f t="shared" si="214"/>
        <v/>
      </c>
      <c r="AO217" s="15" t="str">
        <f t="shared" si="214"/>
        <v/>
      </c>
      <c r="AP217" s="15" t="str">
        <f t="shared" si="214"/>
        <v/>
      </c>
      <c r="AQ217" s="15" t="str">
        <f t="shared" si="214"/>
        <v/>
      </c>
      <c r="AR217" s="15" t="str">
        <f t="shared" si="214"/>
        <v/>
      </c>
      <c r="AS217" s="15" t="str">
        <f t="shared" si="214"/>
        <v/>
      </c>
      <c r="AT217" s="15" t="str">
        <f t="shared" si="214"/>
        <v/>
      </c>
      <c r="AU217" s="15" t="str">
        <f t="shared" si="214"/>
        <v/>
      </c>
      <c r="AV217" s="15" t="str">
        <f t="shared" si="214"/>
        <v/>
      </c>
      <c r="AW217" s="15" t="str">
        <f t="shared" si="214"/>
        <v/>
      </c>
      <c r="AX217" s="15" t="str">
        <f t="shared" si="214"/>
        <v/>
      </c>
      <c r="AY217" s="15" t="str">
        <f t="shared" si="214"/>
        <v/>
      </c>
    </row>
    <row r="218" ht="18.0" customHeight="1">
      <c r="A218" s="13" t="str">
        <f t="shared" si="1"/>
        <v/>
      </c>
      <c r="B218" s="13" t="str">
        <f t="shared" si="2"/>
        <v/>
      </c>
      <c r="C218" s="12" t="str">
        <f t="shared" si="3"/>
        <v/>
      </c>
      <c r="D218" s="12" t="str">
        <f t="shared" si="4"/>
        <v/>
      </c>
      <c r="E218" s="12" t="str">
        <f t="shared" si="5"/>
        <v/>
      </c>
      <c r="F218" s="12" t="str">
        <f t="shared" si="6"/>
        <v/>
      </c>
      <c r="G218" s="12" t="str">
        <f t="shared" si="7"/>
        <v/>
      </c>
      <c r="H218" s="12" t="str">
        <f t="shared" si="8"/>
        <v/>
      </c>
      <c r="I218" s="12" t="str">
        <f t="shared" si="9"/>
        <v/>
      </c>
      <c r="J218" s="12" t="str">
        <f t="shared" si="10"/>
        <v/>
      </c>
      <c r="L218" s="15" t="str">
        <f t="shared" ref="L218:AY218" si="215">IF(L$13="","",IF(AND(L$13&gt;$H217,L$13&lt;=$I217),IF(AND(MOD($B$6,2)=1,L$13=ROUNDUP($J217,0)),"0",IF(L$13=INT($H217)+1,ROUNDDOWN(ABS(L$13-$J217),0),IF(L$13=INT($I217),ROUNDUP(ABS(L$13-$J217),0),""))),""))</f>
        <v/>
      </c>
      <c r="M218" s="15" t="str">
        <f t="shared" si="215"/>
        <v/>
      </c>
      <c r="N218" s="15" t="str">
        <f t="shared" si="215"/>
        <v/>
      </c>
      <c r="O218" s="15" t="str">
        <f t="shared" si="215"/>
        <v/>
      </c>
      <c r="P218" s="15" t="str">
        <f t="shared" si="215"/>
        <v/>
      </c>
      <c r="Q218" s="15" t="str">
        <f t="shared" si="215"/>
        <v/>
      </c>
      <c r="R218" s="15" t="str">
        <f t="shared" si="215"/>
        <v/>
      </c>
      <c r="S218" s="15" t="str">
        <f t="shared" si="215"/>
        <v/>
      </c>
      <c r="T218" s="15" t="str">
        <f t="shared" si="215"/>
        <v/>
      </c>
      <c r="U218" s="15" t="str">
        <f t="shared" si="215"/>
        <v/>
      </c>
      <c r="V218" s="15" t="str">
        <f t="shared" si="215"/>
        <v/>
      </c>
      <c r="W218" s="15" t="str">
        <f t="shared" si="215"/>
        <v/>
      </c>
      <c r="X218" s="15" t="str">
        <f t="shared" si="215"/>
        <v/>
      </c>
      <c r="Y218" s="15" t="str">
        <f t="shared" si="215"/>
        <v/>
      </c>
      <c r="Z218" s="15" t="str">
        <f t="shared" si="215"/>
        <v/>
      </c>
      <c r="AA218" s="15" t="str">
        <f t="shared" si="215"/>
        <v/>
      </c>
      <c r="AB218" s="15" t="str">
        <f t="shared" si="215"/>
        <v/>
      </c>
      <c r="AC218" s="15" t="str">
        <f t="shared" si="215"/>
        <v/>
      </c>
      <c r="AD218" s="15" t="str">
        <f t="shared" si="215"/>
        <v/>
      </c>
      <c r="AE218" s="15" t="str">
        <f t="shared" si="215"/>
        <v/>
      </c>
      <c r="AF218" s="15" t="str">
        <f t="shared" si="215"/>
        <v/>
      </c>
      <c r="AG218" s="15" t="str">
        <f t="shared" si="215"/>
        <v/>
      </c>
      <c r="AH218" s="15" t="str">
        <f t="shared" si="215"/>
        <v/>
      </c>
      <c r="AI218" s="15" t="str">
        <f t="shared" si="215"/>
        <v/>
      </c>
      <c r="AJ218" s="15" t="str">
        <f t="shared" si="215"/>
        <v/>
      </c>
      <c r="AK218" s="15" t="str">
        <f t="shared" si="215"/>
        <v/>
      </c>
      <c r="AL218" s="15" t="str">
        <f t="shared" si="215"/>
        <v/>
      </c>
      <c r="AM218" s="15" t="str">
        <f t="shared" si="215"/>
        <v/>
      </c>
      <c r="AN218" s="15" t="str">
        <f t="shared" si="215"/>
        <v/>
      </c>
      <c r="AO218" s="15" t="str">
        <f t="shared" si="215"/>
        <v/>
      </c>
      <c r="AP218" s="15" t="str">
        <f t="shared" si="215"/>
        <v/>
      </c>
      <c r="AQ218" s="15" t="str">
        <f t="shared" si="215"/>
        <v/>
      </c>
      <c r="AR218" s="15" t="str">
        <f t="shared" si="215"/>
        <v/>
      </c>
      <c r="AS218" s="15" t="str">
        <f t="shared" si="215"/>
        <v/>
      </c>
      <c r="AT218" s="15" t="str">
        <f t="shared" si="215"/>
        <v/>
      </c>
      <c r="AU218" s="15" t="str">
        <f t="shared" si="215"/>
        <v/>
      </c>
      <c r="AV218" s="15" t="str">
        <f t="shared" si="215"/>
        <v/>
      </c>
      <c r="AW218" s="15" t="str">
        <f t="shared" si="215"/>
        <v/>
      </c>
      <c r="AX218" s="15" t="str">
        <f t="shared" si="215"/>
        <v/>
      </c>
      <c r="AY218" s="15" t="str">
        <f t="shared" si="215"/>
        <v/>
      </c>
    </row>
    <row r="219" ht="18.0" customHeight="1">
      <c r="A219" s="13" t="str">
        <f t="shared" si="1"/>
        <v/>
      </c>
      <c r="B219" s="13" t="str">
        <f t="shared" si="2"/>
        <v/>
      </c>
      <c r="C219" s="12" t="str">
        <f t="shared" si="3"/>
        <v/>
      </c>
      <c r="D219" s="12" t="str">
        <f t="shared" si="4"/>
        <v/>
      </c>
      <c r="E219" s="12" t="str">
        <f t="shared" si="5"/>
        <v/>
      </c>
      <c r="F219" s="12" t="str">
        <f t="shared" si="6"/>
        <v/>
      </c>
      <c r="G219" s="12" t="str">
        <f t="shared" si="7"/>
        <v/>
      </c>
      <c r="H219" s="12" t="str">
        <f t="shared" si="8"/>
        <v/>
      </c>
      <c r="I219" s="12" t="str">
        <f t="shared" si="9"/>
        <v/>
      </c>
      <c r="J219" s="12" t="str">
        <f t="shared" si="10"/>
        <v/>
      </c>
      <c r="L219" s="15" t="str">
        <f t="shared" ref="L219:AY219" si="216">IF(L$13="","",IF(AND(L$13&gt;$H218,L$13&lt;=$I218),IF(AND(MOD($B$6,2)=1,L$13=ROUNDUP($J218,0)),"0",IF(L$13=INT($H218)+1,ROUNDDOWN(ABS(L$13-$J218),0),IF(L$13=INT($I218),ROUNDUP(ABS(L$13-$J218),0),""))),""))</f>
        <v/>
      </c>
      <c r="M219" s="15" t="str">
        <f t="shared" si="216"/>
        <v/>
      </c>
      <c r="N219" s="15" t="str">
        <f t="shared" si="216"/>
        <v/>
      </c>
      <c r="O219" s="15" t="str">
        <f t="shared" si="216"/>
        <v/>
      </c>
      <c r="P219" s="15" t="str">
        <f t="shared" si="216"/>
        <v/>
      </c>
      <c r="Q219" s="15" t="str">
        <f t="shared" si="216"/>
        <v/>
      </c>
      <c r="R219" s="15" t="str">
        <f t="shared" si="216"/>
        <v/>
      </c>
      <c r="S219" s="15" t="str">
        <f t="shared" si="216"/>
        <v/>
      </c>
      <c r="T219" s="15" t="str">
        <f t="shared" si="216"/>
        <v/>
      </c>
      <c r="U219" s="15" t="str">
        <f t="shared" si="216"/>
        <v/>
      </c>
      <c r="V219" s="15" t="str">
        <f t="shared" si="216"/>
        <v/>
      </c>
      <c r="W219" s="15" t="str">
        <f t="shared" si="216"/>
        <v/>
      </c>
      <c r="X219" s="15" t="str">
        <f t="shared" si="216"/>
        <v/>
      </c>
      <c r="Y219" s="15" t="str">
        <f t="shared" si="216"/>
        <v/>
      </c>
      <c r="Z219" s="15" t="str">
        <f t="shared" si="216"/>
        <v/>
      </c>
      <c r="AA219" s="15" t="str">
        <f t="shared" si="216"/>
        <v/>
      </c>
      <c r="AB219" s="15" t="str">
        <f t="shared" si="216"/>
        <v/>
      </c>
      <c r="AC219" s="15" t="str">
        <f t="shared" si="216"/>
        <v/>
      </c>
      <c r="AD219" s="15" t="str">
        <f t="shared" si="216"/>
        <v/>
      </c>
      <c r="AE219" s="15" t="str">
        <f t="shared" si="216"/>
        <v/>
      </c>
      <c r="AF219" s="15" t="str">
        <f t="shared" si="216"/>
        <v/>
      </c>
      <c r="AG219" s="15" t="str">
        <f t="shared" si="216"/>
        <v/>
      </c>
      <c r="AH219" s="15" t="str">
        <f t="shared" si="216"/>
        <v/>
      </c>
      <c r="AI219" s="15" t="str">
        <f t="shared" si="216"/>
        <v/>
      </c>
      <c r="AJ219" s="15" t="str">
        <f t="shared" si="216"/>
        <v/>
      </c>
      <c r="AK219" s="15" t="str">
        <f t="shared" si="216"/>
        <v/>
      </c>
      <c r="AL219" s="15" t="str">
        <f t="shared" si="216"/>
        <v/>
      </c>
      <c r="AM219" s="15" t="str">
        <f t="shared" si="216"/>
        <v/>
      </c>
      <c r="AN219" s="15" t="str">
        <f t="shared" si="216"/>
        <v/>
      </c>
      <c r="AO219" s="15" t="str">
        <f t="shared" si="216"/>
        <v/>
      </c>
      <c r="AP219" s="15" t="str">
        <f t="shared" si="216"/>
        <v/>
      </c>
      <c r="AQ219" s="15" t="str">
        <f t="shared" si="216"/>
        <v/>
      </c>
      <c r="AR219" s="15" t="str">
        <f t="shared" si="216"/>
        <v/>
      </c>
      <c r="AS219" s="15" t="str">
        <f t="shared" si="216"/>
        <v/>
      </c>
      <c r="AT219" s="15" t="str">
        <f t="shared" si="216"/>
        <v/>
      </c>
      <c r="AU219" s="15" t="str">
        <f t="shared" si="216"/>
        <v/>
      </c>
      <c r="AV219" s="15" t="str">
        <f t="shared" si="216"/>
        <v/>
      </c>
      <c r="AW219" s="15" t="str">
        <f t="shared" si="216"/>
        <v/>
      </c>
      <c r="AX219" s="15" t="str">
        <f t="shared" si="216"/>
        <v/>
      </c>
      <c r="AY219" s="15" t="str">
        <f t="shared" si="216"/>
        <v/>
      </c>
    </row>
    <row r="220" ht="18.0" customHeight="1">
      <c r="A220" s="13" t="str">
        <f t="shared" si="1"/>
        <v/>
      </c>
      <c r="B220" s="13" t="str">
        <f t="shared" si="2"/>
        <v/>
      </c>
      <c r="C220" s="12" t="str">
        <f t="shared" si="3"/>
        <v/>
      </c>
      <c r="D220" s="12" t="str">
        <f t="shared" si="4"/>
        <v/>
      </c>
      <c r="E220" s="12" t="str">
        <f t="shared" si="5"/>
        <v/>
      </c>
      <c r="F220" s="12" t="str">
        <f t="shared" si="6"/>
        <v/>
      </c>
      <c r="G220" s="12" t="str">
        <f t="shared" si="7"/>
        <v/>
      </c>
      <c r="H220" s="12" t="str">
        <f t="shared" si="8"/>
        <v/>
      </c>
      <c r="I220" s="12" t="str">
        <f t="shared" si="9"/>
        <v/>
      </c>
      <c r="J220" s="12" t="str">
        <f t="shared" si="10"/>
        <v/>
      </c>
      <c r="L220" s="15" t="str">
        <f t="shared" ref="L220:AY220" si="217">IF(L$13="","",IF(AND(L$13&gt;$H219,L$13&lt;=$I219),IF(AND(MOD($B$6,2)=1,L$13=ROUNDUP($J219,0)),"0",IF(L$13=INT($H219)+1,ROUNDDOWN(ABS(L$13-$J219),0),IF(L$13=INT($I219),ROUNDUP(ABS(L$13-$J219),0),""))),""))</f>
        <v/>
      </c>
      <c r="M220" s="15" t="str">
        <f t="shared" si="217"/>
        <v/>
      </c>
      <c r="N220" s="15" t="str">
        <f t="shared" si="217"/>
        <v/>
      </c>
      <c r="O220" s="15" t="str">
        <f t="shared" si="217"/>
        <v/>
      </c>
      <c r="P220" s="15" t="str">
        <f t="shared" si="217"/>
        <v/>
      </c>
      <c r="Q220" s="15" t="str">
        <f t="shared" si="217"/>
        <v/>
      </c>
      <c r="R220" s="15" t="str">
        <f t="shared" si="217"/>
        <v/>
      </c>
      <c r="S220" s="15" t="str">
        <f t="shared" si="217"/>
        <v/>
      </c>
      <c r="T220" s="15" t="str">
        <f t="shared" si="217"/>
        <v/>
      </c>
      <c r="U220" s="15" t="str">
        <f t="shared" si="217"/>
        <v/>
      </c>
      <c r="V220" s="15" t="str">
        <f t="shared" si="217"/>
        <v/>
      </c>
      <c r="W220" s="15" t="str">
        <f t="shared" si="217"/>
        <v/>
      </c>
      <c r="X220" s="15" t="str">
        <f t="shared" si="217"/>
        <v/>
      </c>
      <c r="Y220" s="15" t="str">
        <f t="shared" si="217"/>
        <v/>
      </c>
      <c r="Z220" s="15" t="str">
        <f t="shared" si="217"/>
        <v/>
      </c>
      <c r="AA220" s="15" t="str">
        <f t="shared" si="217"/>
        <v/>
      </c>
      <c r="AB220" s="15" t="str">
        <f t="shared" si="217"/>
        <v/>
      </c>
      <c r="AC220" s="15" t="str">
        <f t="shared" si="217"/>
        <v/>
      </c>
      <c r="AD220" s="15" t="str">
        <f t="shared" si="217"/>
        <v/>
      </c>
      <c r="AE220" s="15" t="str">
        <f t="shared" si="217"/>
        <v/>
      </c>
      <c r="AF220" s="15" t="str">
        <f t="shared" si="217"/>
        <v/>
      </c>
      <c r="AG220" s="15" t="str">
        <f t="shared" si="217"/>
        <v/>
      </c>
      <c r="AH220" s="15" t="str">
        <f t="shared" si="217"/>
        <v/>
      </c>
      <c r="AI220" s="15" t="str">
        <f t="shared" si="217"/>
        <v/>
      </c>
      <c r="AJ220" s="15" t="str">
        <f t="shared" si="217"/>
        <v/>
      </c>
      <c r="AK220" s="15" t="str">
        <f t="shared" si="217"/>
        <v/>
      </c>
      <c r="AL220" s="15" t="str">
        <f t="shared" si="217"/>
        <v/>
      </c>
      <c r="AM220" s="15" t="str">
        <f t="shared" si="217"/>
        <v/>
      </c>
      <c r="AN220" s="15" t="str">
        <f t="shared" si="217"/>
        <v/>
      </c>
      <c r="AO220" s="15" t="str">
        <f t="shared" si="217"/>
        <v/>
      </c>
      <c r="AP220" s="15" t="str">
        <f t="shared" si="217"/>
        <v/>
      </c>
      <c r="AQ220" s="15" t="str">
        <f t="shared" si="217"/>
        <v/>
      </c>
      <c r="AR220" s="15" t="str">
        <f t="shared" si="217"/>
        <v/>
      </c>
      <c r="AS220" s="15" t="str">
        <f t="shared" si="217"/>
        <v/>
      </c>
      <c r="AT220" s="15" t="str">
        <f t="shared" si="217"/>
        <v/>
      </c>
      <c r="AU220" s="15" t="str">
        <f t="shared" si="217"/>
        <v/>
      </c>
      <c r="AV220" s="15" t="str">
        <f t="shared" si="217"/>
        <v/>
      </c>
      <c r="AW220" s="15" t="str">
        <f t="shared" si="217"/>
        <v/>
      </c>
      <c r="AX220" s="15" t="str">
        <f t="shared" si="217"/>
        <v/>
      </c>
      <c r="AY220" s="15" t="str">
        <f t="shared" si="217"/>
        <v/>
      </c>
    </row>
    <row r="221" ht="18.0" customHeight="1">
      <c r="A221" s="13" t="str">
        <f t="shared" si="1"/>
        <v/>
      </c>
      <c r="B221" s="13" t="str">
        <f t="shared" si="2"/>
        <v/>
      </c>
      <c r="C221" s="12" t="str">
        <f t="shared" si="3"/>
        <v/>
      </c>
      <c r="D221" s="12" t="str">
        <f t="shared" si="4"/>
        <v/>
      </c>
      <c r="E221" s="12" t="str">
        <f t="shared" si="5"/>
        <v/>
      </c>
      <c r="F221" s="12" t="str">
        <f t="shared" si="6"/>
        <v/>
      </c>
      <c r="G221" s="12" t="str">
        <f t="shared" si="7"/>
        <v/>
      </c>
      <c r="H221" s="12" t="str">
        <f t="shared" si="8"/>
        <v/>
      </c>
      <c r="I221" s="12" t="str">
        <f t="shared" si="9"/>
        <v/>
      </c>
      <c r="J221" s="12" t="str">
        <f t="shared" si="10"/>
        <v/>
      </c>
      <c r="L221" s="15" t="str">
        <f t="shared" ref="L221:AY221" si="218">IF(L$13="","",IF(AND(L$13&gt;$H220,L$13&lt;=$I220),IF(AND(MOD($B$6,2)=1,L$13=ROUNDUP($J220,0)),"0",IF(L$13=INT($H220)+1,ROUNDDOWN(ABS(L$13-$J220),0),IF(L$13=INT($I220),ROUNDUP(ABS(L$13-$J220),0),""))),""))</f>
        <v/>
      </c>
      <c r="M221" s="15" t="str">
        <f t="shared" si="218"/>
        <v/>
      </c>
      <c r="N221" s="15" t="str">
        <f t="shared" si="218"/>
        <v/>
      </c>
      <c r="O221" s="15" t="str">
        <f t="shared" si="218"/>
        <v/>
      </c>
      <c r="P221" s="15" t="str">
        <f t="shared" si="218"/>
        <v/>
      </c>
      <c r="Q221" s="15" t="str">
        <f t="shared" si="218"/>
        <v/>
      </c>
      <c r="R221" s="15" t="str">
        <f t="shared" si="218"/>
        <v/>
      </c>
      <c r="S221" s="15" t="str">
        <f t="shared" si="218"/>
        <v/>
      </c>
      <c r="T221" s="15" t="str">
        <f t="shared" si="218"/>
        <v/>
      </c>
      <c r="U221" s="15" t="str">
        <f t="shared" si="218"/>
        <v/>
      </c>
      <c r="V221" s="15" t="str">
        <f t="shared" si="218"/>
        <v/>
      </c>
      <c r="W221" s="15" t="str">
        <f t="shared" si="218"/>
        <v/>
      </c>
      <c r="X221" s="15" t="str">
        <f t="shared" si="218"/>
        <v/>
      </c>
      <c r="Y221" s="15" t="str">
        <f t="shared" si="218"/>
        <v/>
      </c>
      <c r="Z221" s="15" t="str">
        <f t="shared" si="218"/>
        <v/>
      </c>
      <c r="AA221" s="15" t="str">
        <f t="shared" si="218"/>
        <v/>
      </c>
      <c r="AB221" s="15" t="str">
        <f t="shared" si="218"/>
        <v/>
      </c>
      <c r="AC221" s="15" t="str">
        <f t="shared" si="218"/>
        <v/>
      </c>
      <c r="AD221" s="15" t="str">
        <f t="shared" si="218"/>
        <v/>
      </c>
      <c r="AE221" s="15" t="str">
        <f t="shared" si="218"/>
        <v/>
      </c>
      <c r="AF221" s="15" t="str">
        <f t="shared" si="218"/>
        <v/>
      </c>
      <c r="AG221" s="15" t="str">
        <f t="shared" si="218"/>
        <v/>
      </c>
      <c r="AH221" s="15" t="str">
        <f t="shared" si="218"/>
        <v/>
      </c>
      <c r="AI221" s="15" t="str">
        <f t="shared" si="218"/>
        <v/>
      </c>
      <c r="AJ221" s="15" t="str">
        <f t="shared" si="218"/>
        <v/>
      </c>
      <c r="AK221" s="15" t="str">
        <f t="shared" si="218"/>
        <v/>
      </c>
      <c r="AL221" s="15" t="str">
        <f t="shared" si="218"/>
        <v/>
      </c>
      <c r="AM221" s="15" t="str">
        <f t="shared" si="218"/>
        <v/>
      </c>
      <c r="AN221" s="15" t="str">
        <f t="shared" si="218"/>
        <v/>
      </c>
      <c r="AO221" s="15" t="str">
        <f t="shared" si="218"/>
        <v/>
      </c>
      <c r="AP221" s="15" t="str">
        <f t="shared" si="218"/>
        <v/>
      </c>
      <c r="AQ221" s="15" t="str">
        <f t="shared" si="218"/>
        <v/>
      </c>
      <c r="AR221" s="15" t="str">
        <f t="shared" si="218"/>
        <v/>
      </c>
      <c r="AS221" s="15" t="str">
        <f t="shared" si="218"/>
        <v/>
      </c>
      <c r="AT221" s="15" t="str">
        <f t="shared" si="218"/>
        <v/>
      </c>
      <c r="AU221" s="15" t="str">
        <f t="shared" si="218"/>
        <v/>
      </c>
      <c r="AV221" s="15" t="str">
        <f t="shared" si="218"/>
        <v/>
      </c>
      <c r="AW221" s="15" t="str">
        <f t="shared" si="218"/>
        <v/>
      </c>
      <c r="AX221" s="15" t="str">
        <f t="shared" si="218"/>
        <v/>
      </c>
      <c r="AY221" s="15" t="str">
        <f t="shared" si="218"/>
        <v/>
      </c>
    </row>
    <row r="222" ht="18.0" customHeight="1">
      <c r="A222" s="13" t="str">
        <f t="shared" si="1"/>
        <v/>
      </c>
      <c r="B222" s="13" t="str">
        <f t="shared" si="2"/>
        <v/>
      </c>
      <c r="C222" s="12" t="str">
        <f t="shared" si="3"/>
        <v/>
      </c>
      <c r="D222" s="12" t="str">
        <f t="shared" si="4"/>
        <v/>
      </c>
      <c r="E222" s="12" t="str">
        <f t="shared" si="5"/>
        <v/>
      </c>
      <c r="F222" s="12" t="str">
        <f t="shared" si="6"/>
        <v/>
      </c>
      <c r="G222" s="12" t="str">
        <f t="shared" si="7"/>
        <v/>
      </c>
      <c r="H222" s="12" t="str">
        <f t="shared" si="8"/>
        <v/>
      </c>
      <c r="I222" s="12" t="str">
        <f t="shared" si="9"/>
        <v/>
      </c>
      <c r="J222" s="12" t="str">
        <f t="shared" si="10"/>
        <v/>
      </c>
      <c r="L222" s="15" t="str">
        <f t="shared" ref="L222:AY222" si="219">IF(L$13="","",IF(AND(L$13&gt;$H221,L$13&lt;=$I221),IF(AND(MOD($B$6,2)=1,L$13=ROUNDUP($J221,0)),"0",IF(L$13=INT($H221)+1,ROUNDDOWN(ABS(L$13-$J221),0),IF(L$13=INT($I221),ROUNDUP(ABS(L$13-$J221),0),""))),""))</f>
        <v/>
      </c>
      <c r="M222" s="15" t="str">
        <f t="shared" si="219"/>
        <v/>
      </c>
      <c r="N222" s="15" t="str">
        <f t="shared" si="219"/>
        <v/>
      </c>
      <c r="O222" s="15" t="str">
        <f t="shared" si="219"/>
        <v/>
      </c>
      <c r="P222" s="15" t="str">
        <f t="shared" si="219"/>
        <v/>
      </c>
      <c r="Q222" s="15" t="str">
        <f t="shared" si="219"/>
        <v/>
      </c>
      <c r="R222" s="15" t="str">
        <f t="shared" si="219"/>
        <v/>
      </c>
      <c r="S222" s="15" t="str">
        <f t="shared" si="219"/>
        <v/>
      </c>
      <c r="T222" s="15" t="str">
        <f t="shared" si="219"/>
        <v/>
      </c>
      <c r="U222" s="15" t="str">
        <f t="shared" si="219"/>
        <v/>
      </c>
      <c r="V222" s="15" t="str">
        <f t="shared" si="219"/>
        <v/>
      </c>
      <c r="W222" s="15" t="str">
        <f t="shared" si="219"/>
        <v/>
      </c>
      <c r="X222" s="15" t="str">
        <f t="shared" si="219"/>
        <v/>
      </c>
      <c r="Y222" s="15" t="str">
        <f t="shared" si="219"/>
        <v/>
      </c>
      <c r="Z222" s="15" t="str">
        <f t="shared" si="219"/>
        <v/>
      </c>
      <c r="AA222" s="15" t="str">
        <f t="shared" si="219"/>
        <v/>
      </c>
      <c r="AB222" s="15" t="str">
        <f t="shared" si="219"/>
        <v/>
      </c>
      <c r="AC222" s="15" t="str">
        <f t="shared" si="219"/>
        <v/>
      </c>
      <c r="AD222" s="15" t="str">
        <f t="shared" si="219"/>
        <v/>
      </c>
      <c r="AE222" s="15" t="str">
        <f t="shared" si="219"/>
        <v/>
      </c>
      <c r="AF222" s="15" t="str">
        <f t="shared" si="219"/>
        <v/>
      </c>
      <c r="AG222" s="15" t="str">
        <f t="shared" si="219"/>
        <v/>
      </c>
      <c r="AH222" s="15" t="str">
        <f t="shared" si="219"/>
        <v/>
      </c>
      <c r="AI222" s="15" t="str">
        <f t="shared" si="219"/>
        <v/>
      </c>
      <c r="AJ222" s="15" t="str">
        <f t="shared" si="219"/>
        <v/>
      </c>
      <c r="AK222" s="15" t="str">
        <f t="shared" si="219"/>
        <v/>
      </c>
      <c r="AL222" s="15" t="str">
        <f t="shared" si="219"/>
        <v/>
      </c>
      <c r="AM222" s="15" t="str">
        <f t="shared" si="219"/>
        <v/>
      </c>
      <c r="AN222" s="15" t="str">
        <f t="shared" si="219"/>
        <v/>
      </c>
      <c r="AO222" s="15" t="str">
        <f t="shared" si="219"/>
        <v/>
      </c>
      <c r="AP222" s="15" t="str">
        <f t="shared" si="219"/>
        <v/>
      </c>
      <c r="AQ222" s="15" t="str">
        <f t="shared" si="219"/>
        <v/>
      </c>
      <c r="AR222" s="15" t="str">
        <f t="shared" si="219"/>
        <v/>
      </c>
      <c r="AS222" s="15" t="str">
        <f t="shared" si="219"/>
        <v/>
      </c>
      <c r="AT222" s="15" t="str">
        <f t="shared" si="219"/>
        <v/>
      </c>
      <c r="AU222" s="15" t="str">
        <f t="shared" si="219"/>
        <v/>
      </c>
      <c r="AV222" s="15" t="str">
        <f t="shared" si="219"/>
        <v/>
      </c>
      <c r="AW222" s="15" t="str">
        <f t="shared" si="219"/>
        <v/>
      </c>
      <c r="AX222" s="15" t="str">
        <f t="shared" si="219"/>
        <v/>
      </c>
      <c r="AY222" s="15" t="str">
        <f t="shared" si="219"/>
        <v/>
      </c>
    </row>
    <row r="223" ht="18.0" customHeight="1">
      <c r="A223" s="13" t="str">
        <f t="shared" si="1"/>
        <v/>
      </c>
      <c r="B223" s="13" t="str">
        <f t="shared" si="2"/>
        <v/>
      </c>
      <c r="C223" s="12" t="str">
        <f t="shared" si="3"/>
        <v/>
      </c>
      <c r="D223" s="12" t="str">
        <f t="shared" si="4"/>
        <v/>
      </c>
      <c r="E223" s="12" t="str">
        <f t="shared" si="5"/>
        <v/>
      </c>
      <c r="F223" s="12" t="str">
        <f t="shared" si="6"/>
        <v/>
      </c>
      <c r="G223" s="12" t="str">
        <f t="shared" si="7"/>
        <v/>
      </c>
      <c r="H223" s="12" t="str">
        <f t="shared" si="8"/>
        <v/>
      </c>
      <c r="I223" s="12" t="str">
        <f t="shared" si="9"/>
        <v/>
      </c>
      <c r="J223" s="12" t="str">
        <f t="shared" si="10"/>
        <v/>
      </c>
      <c r="L223" s="15" t="str">
        <f t="shared" ref="L223:AY223" si="220">IF(L$13="","",IF(AND(L$13&gt;$H222,L$13&lt;=$I222),IF(AND(MOD($B$6,2)=1,L$13=ROUNDUP($J222,0)),"0",IF(L$13=INT($H222)+1,ROUNDDOWN(ABS(L$13-$J222),0),IF(L$13=INT($I222),ROUNDUP(ABS(L$13-$J222),0),""))),""))</f>
        <v/>
      </c>
      <c r="M223" s="15" t="str">
        <f t="shared" si="220"/>
        <v/>
      </c>
      <c r="N223" s="15" t="str">
        <f t="shared" si="220"/>
        <v/>
      </c>
      <c r="O223" s="15" t="str">
        <f t="shared" si="220"/>
        <v/>
      </c>
      <c r="P223" s="15" t="str">
        <f t="shared" si="220"/>
        <v/>
      </c>
      <c r="Q223" s="15" t="str">
        <f t="shared" si="220"/>
        <v/>
      </c>
      <c r="R223" s="15" t="str">
        <f t="shared" si="220"/>
        <v/>
      </c>
      <c r="S223" s="15" t="str">
        <f t="shared" si="220"/>
        <v/>
      </c>
      <c r="T223" s="15" t="str">
        <f t="shared" si="220"/>
        <v/>
      </c>
      <c r="U223" s="15" t="str">
        <f t="shared" si="220"/>
        <v/>
      </c>
      <c r="V223" s="15" t="str">
        <f t="shared" si="220"/>
        <v/>
      </c>
      <c r="W223" s="15" t="str">
        <f t="shared" si="220"/>
        <v/>
      </c>
      <c r="X223" s="15" t="str">
        <f t="shared" si="220"/>
        <v/>
      </c>
      <c r="Y223" s="15" t="str">
        <f t="shared" si="220"/>
        <v/>
      </c>
      <c r="Z223" s="15" t="str">
        <f t="shared" si="220"/>
        <v/>
      </c>
      <c r="AA223" s="15" t="str">
        <f t="shared" si="220"/>
        <v/>
      </c>
      <c r="AB223" s="15" t="str">
        <f t="shared" si="220"/>
        <v/>
      </c>
      <c r="AC223" s="15" t="str">
        <f t="shared" si="220"/>
        <v/>
      </c>
      <c r="AD223" s="15" t="str">
        <f t="shared" si="220"/>
        <v/>
      </c>
      <c r="AE223" s="15" t="str">
        <f t="shared" si="220"/>
        <v/>
      </c>
      <c r="AF223" s="15" t="str">
        <f t="shared" si="220"/>
        <v/>
      </c>
      <c r="AG223" s="15" t="str">
        <f t="shared" si="220"/>
        <v/>
      </c>
      <c r="AH223" s="15" t="str">
        <f t="shared" si="220"/>
        <v/>
      </c>
      <c r="AI223" s="15" t="str">
        <f t="shared" si="220"/>
        <v/>
      </c>
      <c r="AJ223" s="15" t="str">
        <f t="shared" si="220"/>
        <v/>
      </c>
      <c r="AK223" s="15" t="str">
        <f t="shared" si="220"/>
        <v/>
      </c>
      <c r="AL223" s="15" t="str">
        <f t="shared" si="220"/>
        <v/>
      </c>
      <c r="AM223" s="15" t="str">
        <f t="shared" si="220"/>
        <v/>
      </c>
      <c r="AN223" s="15" t="str">
        <f t="shared" si="220"/>
        <v/>
      </c>
      <c r="AO223" s="15" t="str">
        <f t="shared" si="220"/>
        <v/>
      </c>
      <c r="AP223" s="15" t="str">
        <f t="shared" si="220"/>
        <v/>
      </c>
      <c r="AQ223" s="15" t="str">
        <f t="shared" si="220"/>
        <v/>
      </c>
      <c r="AR223" s="15" t="str">
        <f t="shared" si="220"/>
        <v/>
      </c>
      <c r="AS223" s="15" t="str">
        <f t="shared" si="220"/>
        <v/>
      </c>
      <c r="AT223" s="15" t="str">
        <f t="shared" si="220"/>
        <v/>
      </c>
      <c r="AU223" s="15" t="str">
        <f t="shared" si="220"/>
        <v/>
      </c>
      <c r="AV223" s="15" t="str">
        <f t="shared" si="220"/>
        <v/>
      </c>
      <c r="AW223" s="15" t="str">
        <f t="shared" si="220"/>
        <v/>
      </c>
      <c r="AX223" s="15" t="str">
        <f t="shared" si="220"/>
        <v/>
      </c>
      <c r="AY223" s="15" t="str">
        <f t="shared" si="220"/>
        <v/>
      </c>
    </row>
    <row r="224" ht="18.0" customHeight="1">
      <c r="A224" s="13" t="str">
        <f t="shared" si="1"/>
        <v/>
      </c>
      <c r="B224" s="13" t="str">
        <f t="shared" si="2"/>
        <v/>
      </c>
      <c r="C224" s="12" t="str">
        <f t="shared" si="3"/>
        <v/>
      </c>
      <c r="D224" s="12" t="str">
        <f t="shared" si="4"/>
        <v/>
      </c>
      <c r="E224" s="12" t="str">
        <f t="shared" si="5"/>
        <v/>
      </c>
      <c r="F224" s="12" t="str">
        <f t="shared" si="6"/>
        <v/>
      </c>
      <c r="G224" s="12" t="str">
        <f t="shared" si="7"/>
        <v/>
      </c>
      <c r="H224" s="12" t="str">
        <f t="shared" si="8"/>
        <v/>
      </c>
      <c r="I224" s="12" t="str">
        <f t="shared" si="9"/>
        <v/>
      </c>
      <c r="J224" s="12" t="str">
        <f t="shared" si="10"/>
        <v/>
      </c>
      <c r="L224" s="15" t="str">
        <f t="shared" ref="L224:AY224" si="221">IF(L$13="","",IF(AND(L$13&gt;$H223,L$13&lt;=$I223),IF(AND(MOD($B$6,2)=1,L$13=ROUNDUP($J223,0)),"0",IF(L$13=INT($H223)+1,ROUNDDOWN(ABS(L$13-$J223),0),IF(L$13=INT($I223),ROUNDUP(ABS(L$13-$J223),0),""))),""))</f>
        <v/>
      </c>
      <c r="M224" s="15" t="str">
        <f t="shared" si="221"/>
        <v/>
      </c>
      <c r="N224" s="15" t="str">
        <f t="shared" si="221"/>
        <v/>
      </c>
      <c r="O224" s="15" t="str">
        <f t="shared" si="221"/>
        <v/>
      </c>
      <c r="P224" s="15" t="str">
        <f t="shared" si="221"/>
        <v/>
      </c>
      <c r="Q224" s="15" t="str">
        <f t="shared" si="221"/>
        <v/>
      </c>
      <c r="R224" s="15" t="str">
        <f t="shared" si="221"/>
        <v/>
      </c>
      <c r="S224" s="15" t="str">
        <f t="shared" si="221"/>
        <v/>
      </c>
      <c r="T224" s="15" t="str">
        <f t="shared" si="221"/>
        <v/>
      </c>
      <c r="U224" s="15" t="str">
        <f t="shared" si="221"/>
        <v/>
      </c>
      <c r="V224" s="15" t="str">
        <f t="shared" si="221"/>
        <v/>
      </c>
      <c r="W224" s="15" t="str">
        <f t="shared" si="221"/>
        <v/>
      </c>
      <c r="X224" s="15" t="str">
        <f t="shared" si="221"/>
        <v/>
      </c>
      <c r="Y224" s="15" t="str">
        <f t="shared" si="221"/>
        <v/>
      </c>
      <c r="Z224" s="15" t="str">
        <f t="shared" si="221"/>
        <v/>
      </c>
      <c r="AA224" s="15" t="str">
        <f t="shared" si="221"/>
        <v/>
      </c>
      <c r="AB224" s="15" t="str">
        <f t="shared" si="221"/>
        <v/>
      </c>
      <c r="AC224" s="15" t="str">
        <f t="shared" si="221"/>
        <v/>
      </c>
      <c r="AD224" s="15" t="str">
        <f t="shared" si="221"/>
        <v/>
      </c>
      <c r="AE224" s="15" t="str">
        <f t="shared" si="221"/>
        <v/>
      </c>
      <c r="AF224" s="15" t="str">
        <f t="shared" si="221"/>
        <v/>
      </c>
      <c r="AG224" s="15" t="str">
        <f t="shared" si="221"/>
        <v/>
      </c>
      <c r="AH224" s="15" t="str">
        <f t="shared" si="221"/>
        <v/>
      </c>
      <c r="AI224" s="15" t="str">
        <f t="shared" si="221"/>
        <v/>
      </c>
      <c r="AJ224" s="15" t="str">
        <f t="shared" si="221"/>
        <v/>
      </c>
      <c r="AK224" s="15" t="str">
        <f t="shared" si="221"/>
        <v/>
      </c>
      <c r="AL224" s="15" t="str">
        <f t="shared" si="221"/>
        <v/>
      </c>
      <c r="AM224" s="15" t="str">
        <f t="shared" si="221"/>
        <v/>
      </c>
      <c r="AN224" s="15" t="str">
        <f t="shared" si="221"/>
        <v/>
      </c>
      <c r="AO224" s="15" t="str">
        <f t="shared" si="221"/>
        <v/>
      </c>
      <c r="AP224" s="15" t="str">
        <f t="shared" si="221"/>
        <v/>
      </c>
      <c r="AQ224" s="15" t="str">
        <f t="shared" si="221"/>
        <v/>
      </c>
      <c r="AR224" s="15" t="str">
        <f t="shared" si="221"/>
        <v/>
      </c>
      <c r="AS224" s="15" t="str">
        <f t="shared" si="221"/>
        <v/>
      </c>
      <c r="AT224" s="15" t="str">
        <f t="shared" si="221"/>
        <v/>
      </c>
      <c r="AU224" s="15" t="str">
        <f t="shared" si="221"/>
        <v/>
      </c>
      <c r="AV224" s="15" t="str">
        <f t="shared" si="221"/>
        <v/>
      </c>
      <c r="AW224" s="15" t="str">
        <f t="shared" si="221"/>
        <v/>
      </c>
      <c r="AX224" s="15" t="str">
        <f t="shared" si="221"/>
        <v/>
      </c>
      <c r="AY224" s="15" t="str">
        <f t="shared" si="221"/>
        <v/>
      </c>
    </row>
    <row r="225" ht="18.0" customHeight="1">
      <c r="A225" s="13" t="str">
        <f t="shared" si="1"/>
        <v/>
      </c>
      <c r="B225" s="13" t="str">
        <f t="shared" si="2"/>
        <v/>
      </c>
      <c r="C225" s="12" t="str">
        <f t="shared" si="3"/>
        <v/>
      </c>
      <c r="D225" s="12" t="str">
        <f t="shared" si="4"/>
        <v/>
      </c>
      <c r="E225" s="12" t="str">
        <f t="shared" si="5"/>
        <v/>
      </c>
      <c r="F225" s="12" t="str">
        <f t="shared" si="6"/>
        <v/>
      </c>
      <c r="G225" s="12" t="str">
        <f t="shared" si="7"/>
        <v/>
      </c>
      <c r="H225" s="12" t="str">
        <f t="shared" si="8"/>
        <v/>
      </c>
      <c r="I225" s="12" t="str">
        <f t="shared" si="9"/>
        <v/>
      </c>
      <c r="J225" s="12" t="str">
        <f t="shared" si="10"/>
        <v/>
      </c>
      <c r="L225" s="15" t="str">
        <f t="shared" ref="L225:AY225" si="222">IF(L$13="","",IF(AND(L$13&gt;$H224,L$13&lt;=$I224),IF(AND(MOD($B$6,2)=1,L$13=ROUNDUP($J224,0)),"0",IF(L$13=INT($H224)+1,ROUNDDOWN(ABS(L$13-$J224),0),IF(L$13=INT($I224),ROUNDUP(ABS(L$13-$J224),0),""))),""))</f>
        <v/>
      </c>
      <c r="M225" s="15" t="str">
        <f t="shared" si="222"/>
        <v/>
      </c>
      <c r="N225" s="15" t="str">
        <f t="shared" si="222"/>
        <v/>
      </c>
      <c r="O225" s="15" t="str">
        <f t="shared" si="222"/>
        <v/>
      </c>
      <c r="P225" s="15" t="str">
        <f t="shared" si="222"/>
        <v/>
      </c>
      <c r="Q225" s="15" t="str">
        <f t="shared" si="222"/>
        <v/>
      </c>
      <c r="R225" s="15" t="str">
        <f t="shared" si="222"/>
        <v/>
      </c>
      <c r="S225" s="15" t="str">
        <f t="shared" si="222"/>
        <v/>
      </c>
      <c r="T225" s="15" t="str">
        <f t="shared" si="222"/>
        <v/>
      </c>
      <c r="U225" s="15" t="str">
        <f t="shared" si="222"/>
        <v/>
      </c>
      <c r="V225" s="15" t="str">
        <f t="shared" si="222"/>
        <v/>
      </c>
      <c r="W225" s="15" t="str">
        <f t="shared" si="222"/>
        <v/>
      </c>
      <c r="X225" s="15" t="str">
        <f t="shared" si="222"/>
        <v/>
      </c>
      <c r="Y225" s="15" t="str">
        <f t="shared" si="222"/>
        <v/>
      </c>
      <c r="Z225" s="15" t="str">
        <f t="shared" si="222"/>
        <v/>
      </c>
      <c r="AA225" s="15" t="str">
        <f t="shared" si="222"/>
        <v/>
      </c>
      <c r="AB225" s="15" t="str">
        <f t="shared" si="222"/>
        <v/>
      </c>
      <c r="AC225" s="15" t="str">
        <f t="shared" si="222"/>
        <v/>
      </c>
      <c r="AD225" s="15" t="str">
        <f t="shared" si="222"/>
        <v/>
      </c>
      <c r="AE225" s="15" t="str">
        <f t="shared" si="222"/>
        <v/>
      </c>
      <c r="AF225" s="15" t="str">
        <f t="shared" si="222"/>
        <v/>
      </c>
      <c r="AG225" s="15" t="str">
        <f t="shared" si="222"/>
        <v/>
      </c>
      <c r="AH225" s="15" t="str">
        <f t="shared" si="222"/>
        <v/>
      </c>
      <c r="AI225" s="15" t="str">
        <f t="shared" si="222"/>
        <v/>
      </c>
      <c r="AJ225" s="15" t="str">
        <f t="shared" si="222"/>
        <v/>
      </c>
      <c r="AK225" s="15" t="str">
        <f t="shared" si="222"/>
        <v/>
      </c>
      <c r="AL225" s="15" t="str">
        <f t="shared" si="222"/>
        <v/>
      </c>
      <c r="AM225" s="15" t="str">
        <f t="shared" si="222"/>
        <v/>
      </c>
      <c r="AN225" s="15" t="str">
        <f t="shared" si="222"/>
        <v/>
      </c>
      <c r="AO225" s="15" t="str">
        <f t="shared" si="222"/>
        <v/>
      </c>
      <c r="AP225" s="15" t="str">
        <f t="shared" si="222"/>
        <v/>
      </c>
      <c r="AQ225" s="15" t="str">
        <f t="shared" si="222"/>
        <v/>
      </c>
      <c r="AR225" s="15" t="str">
        <f t="shared" si="222"/>
        <v/>
      </c>
      <c r="AS225" s="15" t="str">
        <f t="shared" si="222"/>
        <v/>
      </c>
      <c r="AT225" s="15" t="str">
        <f t="shared" si="222"/>
        <v/>
      </c>
      <c r="AU225" s="15" t="str">
        <f t="shared" si="222"/>
        <v/>
      </c>
      <c r="AV225" s="15" t="str">
        <f t="shared" si="222"/>
        <v/>
      </c>
      <c r="AW225" s="15" t="str">
        <f t="shared" si="222"/>
        <v/>
      </c>
      <c r="AX225" s="15" t="str">
        <f t="shared" si="222"/>
        <v/>
      </c>
      <c r="AY225" s="15" t="str">
        <f t="shared" si="222"/>
        <v/>
      </c>
    </row>
    <row r="226" ht="18.0" customHeight="1">
      <c r="A226" s="13" t="str">
        <f t="shared" si="1"/>
        <v/>
      </c>
      <c r="B226" s="13" t="str">
        <f t="shared" si="2"/>
        <v/>
      </c>
      <c r="C226" s="12" t="str">
        <f t="shared" si="3"/>
        <v/>
      </c>
      <c r="D226" s="12" t="str">
        <f t="shared" si="4"/>
        <v/>
      </c>
      <c r="E226" s="12" t="str">
        <f t="shared" si="5"/>
        <v/>
      </c>
      <c r="F226" s="12" t="str">
        <f t="shared" si="6"/>
        <v/>
      </c>
      <c r="G226" s="12" t="str">
        <f t="shared" si="7"/>
        <v/>
      </c>
      <c r="H226" s="12" t="str">
        <f t="shared" si="8"/>
        <v/>
      </c>
      <c r="I226" s="12" t="str">
        <f t="shared" si="9"/>
        <v/>
      </c>
      <c r="J226" s="12" t="str">
        <f t="shared" si="10"/>
        <v/>
      </c>
      <c r="L226" s="15" t="str">
        <f t="shared" ref="L226:AY226" si="223">IF(L$13="","",IF(AND(L$13&gt;$H225,L$13&lt;=$I225),IF(AND(MOD($B$6,2)=1,L$13=ROUNDUP($J225,0)),"0",IF(L$13=INT($H225)+1,ROUNDDOWN(ABS(L$13-$J225),0),IF(L$13=INT($I225),ROUNDUP(ABS(L$13-$J225),0),""))),""))</f>
        <v/>
      </c>
      <c r="M226" s="15" t="str">
        <f t="shared" si="223"/>
        <v/>
      </c>
      <c r="N226" s="15" t="str">
        <f t="shared" si="223"/>
        <v/>
      </c>
      <c r="O226" s="15" t="str">
        <f t="shared" si="223"/>
        <v/>
      </c>
      <c r="P226" s="15" t="str">
        <f t="shared" si="223"/>
        <v/>
      </c>
      <c r="Q226" s="15" t="str">
        <f t="shared" si="223"/>
        <v/>
      </c>
      <c r="R226" s="15" t="str">
        <f t="shared" si="223"/>
        <v/>
      </c>
      <c r="S226" s="15" t="str">
        <f t="shared" si="223"/>
        <v/>
      </c>
      <c r="T226" s="15" t="str">
        <f t="shared" si="223"/>
        <v/>
      </c>
      <c r="U226" s="15" t="str">
        <f t="shared" si="223"/>
        <v/>
      </c>
      <c r="V226" s="15" t="str">
        <f t="shared" si="223"/>
        <v/>
      </c>
      <c r="W226" s="15" t="str">
        <f t="shared" si="223"/>
        <v/>
      </c>
      <c r="X226" s="15" t="str">
        <f t="shared" si="223"/>
        <v/>
      </c>
      <c r="Y226" s="15" t="str">
        <f t="shared" si="223"/>
        <v/>
      </c>
      <c r="Z226" s="15" t="str">
        <f t="shared" si="223"/>
        <v/>
      </c>
      <c r="AA226" s="15" t="str">
        <f t="shared" si="223"/>
        <v/>
      </c>
      <c r="AB226" s="15" t="str">
        <f t="shared" si="223"/>
        <v/>
      </c>
      <c r="AC226" s="15" t="str">
        <f t="shared" si="223"/>
        <v/>
      </c>
      <c r="AD226" s="15" t="str">
        <f t="shared" si="223"/>
        <v/>
      </c>
      <c r="AE226" s="15" t="str">
        <f t="shared" si="223"/>
        <v/>
      </c>
      <c r="AF226" s="15" t="str">
        <f t="shared" si="223"/>
        <v/>
      </c>
      <c r="AG226" s="15" t="str">
        <f t="shared" si="223"/>
        <v/>
      </c>
      <c r="AH226" s="15" t="str">
        <f t="shared" si="223"/>
        <v/>
      </c>
      <c r="AI226" s="15" t="str">
        <f t="shared" si="223"/>
        <v/>
      </c>
      <c r="AJ226" s="15" t="str">
        <f t="shared" si="223"/>
        <v/>
      </c>
      <c r="AK226" s="15" t="str">
        <f t="shared" si="223"/>
        <v/>
      </c>
      <c r="AL226" s="15" t="str">
        <f t="shared" si="223"/>
        <v/>
      </c>
      <c r="AM226" s="15" t="str">
        <f t="shared" si="223"/>
        <v/>
      </c>
      <c r="AN226" s="15" t="str">
        <f t="shared" si="223"/>
        <v/>
      </c>
      <c r="AO226" s="15" t="str">
        <f t="shared" si="223"/>
        <v/>
      </c>
      <c r="AP226" s="15" t="str">
        <f t="shared" si="223"/>
        <v/>
      </c>
      <c r="AQ226" s="15" t="str">
        <f t="shared" si="223"/>
        <v/>
      </c>
      <c r="AR226" s="15" t="str">
        <f t="shared" si="223"/>
        <v/>
      </c>
      <c r="AS226" s="15" t="str">
        <f t="shared" si="223"/>
        <v/>
      </c>
      <c r="AT226" s="15" t="str">
        <f t="shared" si="223"/>
        <v/>
      </c>
      <c r="AU226" s="15" t="str">
        <f t="shared" si="223"/>
        <v/>
      </c>
      <c r="AV226" s="15" t="str">
        <f t="shared" si="223"/>
        <v/>
      </c>
      <c r="AW226" s="15" t="str">
        <f t="shared" si="223"/>
        <v/>
      </c>
      <c r="AX226" s="15" t="str">
        <f t="shared" si="223"/>
        <v/>
      </c>
      <c r="AY226" s="15" t="str">
        <f t="shared" si="223"/>
        <v/>
      </c>
    </row>
    <row r="227" ht="18.0" customHeight="1">
      <c r="A227" s="13" t="str">
        <f t="shared" si="1"/>
        <v/>
      </c>
      <c r="B227" s="13" t="str">
        <f t="shared" si="2"/>
        <v/>
      </c>
      <c r="C227" s="12" t="str">
        <f t="shared" si="3"/>
        <v/>
      </c>
      <c r="D227" s="12" t="str">
        <f t="shared" si="4"/>
        <v/>
      </c>
      <c r="E227" s="12" t="str">
        <f t="shared" si="5"/>
        <v/>
      </c>
      <c r="F227" s="12" t="str">
        <f t="shared" si="6"/>
        <v/>
      </c>
      <c r="G227" s="12" t="str">
        <f t="shared" si="7"/>
        <v/>
      </c>
      <c r="H227" s="12" t="str">
        <f t="shared" si="8"/>
        <v/>
      </c>
      <c r="I227" s="12" t="str">
        <f t="shared" si="9"/>
        <v/>
      </c>
      <c r="J227" s="12" t="str">
        <f t="shared" si="10"/>
        <v/>
      </c>
      <c r="L227" s="15" t="str">
        <f t="shared" ref="L227:AY227" si="224">IF(L$13="","",IF(AND(L$13&gt;$H226,L$13&lt;=$I226),IF(AND(MOD($B$6,2)=1,L$13=ROUNDUP($J226,0)),"0",IF(L$13=INT($H226)+1,ROUNDDOWN(ABS(L$13-$J226),0),IF(L$13=INT($I226),ROUNDUP(ABS(L$13-$J226),0),""))),""))</f>
        <v/>
      </c>
      <c r="M227" s="15" t="str">
        <f t="shared" si="224"/>
        <v/>
      </c>
      <c r="N227" s="15" t="str">
        <f t="shared" si="224"/>
        <v/>
      </c>
      <c r="O227" s="15" t="str">
        <f t="shared" si="224"/>
        <v/>
      </c>
      <c r="P227" s="15" t="str">
        <f t="shared" si="224"/>
        <v/>
      </c>
      <c r="Q227" s="15" t="str">
        <f t="shared" si="224"/>
        <v/>
      </c>
      <c r="R227" s="15" t="str">
        <f t="shared" si="224"/>
        <v/>
      </c>
      <c r="S227" s="15" t="str">
        <f t="shared" si="224"/>
        <v/>
      </c>
      <c r="T227" s="15" t="str">
        <f t="shared" si="224"/>
        <v/>
      </c>
      <c r="U227" s="15" t="str">
        <f t="shared" si="224"/>
        <v/>
      </c>
      <c r="V227" s="15" t="str">
        <f t="shared" si="224"/>
        <v/>
      </c>
      <c r="W227" s="15" t="str">
        <f t="shared" si="224"/>
        <v/>
      </c>
      <c r="X227" s="15" t="str">
        <f t="shared" si="224"/>
        <v/>
      </c>
      <c r="Y227" s="15" t="str">
        <f t="shared" si="224"/>
        <v/>
      </c>
      <c r="Z227" s="15" t="str">
        <f t="shared" si="224"/>
        <v/>
      </c>
      <c r="AA227" s="15" t="str">
        <f t="shared" si="224"/>
        <v/>
      </c>
      <c r="AB227" s="15" t="str">
        <f t="shared" si="224"/>
        <v/>
      </c>
      <c r="AC227" s="15" t="str">
        <f t="shared" si="224"/>
        <v/>
      </c>
      <c r="AD227" s="15" t="str">
        <f t="shared" si="224"/>
        <v/>
      </c>
      <c r="AE227" s="15" t="str">
        <f t="shared" si="224"/>
        <v/>
      </c>
      <c r="AF227" s="15" t="str">
        <f t="shared" si="224"/>
        <v/>
      </c>
      <c r="AG227" s="15" t="str">
        <f t="shared" si="224"/>
        <v/>
      </c>
      <c r="AH227" s="15" t="str">
        <f t="shared" si="224"/>
        <v/>
      </c>
      <c r="AI227" s="15" t="str">
        <f t="shared" si="224"/>
        <v/>
      </c>
      <c r="AJ227" s="15" t="str">
        <f t="shared" si="224"/>
        <v/>
      </c>
      <c r="AK227" s="15" t="str">
        <f t="shared" si="224"/>
        <v/>
      </c>
      <c r="AL227" s="15" t="str">
        <f t="shared" si="224"/>
        <v/>
      </c>
      <c r="AM227" s="15" t="str">
        <f t="shared" si="224"/>
        <v/>
      </c>
      <c r="AN227" s="15" t="str">
        <f t="shared" si="224"/>
        <v/>
      </c>
      <c r="AO227" s="15" t="str">
        <f t="shared" si="224"/>
        <v/>
      </c>
      <c r="AP227" s="15" t="str">
        <f t="shared" si="224"/>
        <v/>
      </c>
      <c r="AQ227" s="15" t="str">
        <f t="shared" si="224"/>
        <v/>
      </c>
      <c r="AR227" s="15" t="str">
        <f t="shared" si="224"/>
        <v/>
      </c>
      <c r="AS227" s="15" t="str">
        <f t="shared" si="224"/>
        <v/>
      </c>
      <c r="AT227" s="15" t="str">
        <f t="shared" si="224"/>
        <v/>
      </c>
      <c r="AU227" s="15" t="str">
        <f t="shared" si="224"/>
        <v/>
      </c>
      <c r="AV227" s="15" t="str">
        <f t="shared" si="224"/>
        <v/>
      </c>
      <c r="AW227" s="15" t="str">
        <f t="shared" si="224"/>
        <v/>
      </c>
      <c r="AX227" s="15" t="str">
        <f t="shared" si="224"/>
        <v/>
      </c>
      <c r="AY227" s="15" t="str">
        <f t="shared" si="224"/>
        <v/>
      </c>
    </row>
    <row r="228" ht="18.0" customHeight="1">
      <c r="A228" s="13" t="str">
        <f t="shared" si="1"/>
        <v/>
      </c>
      <c r="B228" s="13" t="str">
        <f t="shared" si="2"/>
        <v/>
      </c>
      <c r="C228" s="12" t="str">
        <f t="shared" si="3"/>
        <v/>
      </c>
      <c r="D228" s="12" t="str">
        <f t="shared" si="4"/>
        <v/>
      </c>
      <c r="E228" s="12" t="str">
        <f t="shared" si="5"/>
        <v/>
      </c>
      <c r="F228" s="12" t="str">
        <f t="shared" si="6"/>
        <v/>
      </c>
      <c r="G228" s="12" t="str">
        <f t="shared" si="7"/>
        <v/>
      </c>
      <c r="H228" s="12" t="str">
        <f t="shared" si="8"/>
        <v/>
      </c>
      <c r="I228" s="12" t="str">
        <f t="shared" si="9"/>
        <v/>
      </c>
      <c r="J228" s="12" t="str">
        <f t="shared" si="10"/>
        <v/>
      </c>
      <c r="L228" s="15" t="str">
        <f t="shared" ref="L228:AY228" si="225">IF(L$13="","",IF(AND(L$13&gt;$H227,L$13&lt;=$I227),IF(AND(MOD($B$6,2)=1,L$13=ROUNDUP($J227,0)),"0",IF(L$13=INT($H227)+1,ROUNDDOWN(ABS(L$13-$J227),0),IF(L$13=INT($I227),ROUNDUP(ABS(L$13-$J227),0),""))),""))</f>
        <v/>
      </c>
      <c r="M228" s="15" t="str">
        <f t="shared" si="225"/>
        <v/>
      </c>
      <c r="N228" s="15" t="str">
        <f t="shared" si="225"/>
        <v/>
      </c>
      <c r="O228" s="15" t="str">
        <f t="shared" si="225"/>
        <v/>
      </c>
      <c r="P228" s="15" t="str">
        <f t="shared" si="225"/>
        <v/>
      </c>
      <c r="Q228" s="15" t="str">
        <f t="shared" si="225"/>
        <v/>
      </c>
      <c r="R228" s="15" t="str">
        <f t="shared" si="225"/>
        <v/>
      </c>
      <c r="S228" s="15" t="str">
        <f t="shared" si="225"/>
        <v/>
      </c>
      <c r="T228" s="15" t="str">
        <f t="shared" si="225"/>
        <v/>
      </c>
      <c r="U228" s="15" t="str">
        <f t="shared" si="225"/>
        <v/>
      </c>
      <c r="V228" s="15" t="str">
        <f t="shared" si="225"/>
        <v/>
      </c>
      <c r="W228" s="15" t="str">
        <f t="shared" si="225"/>
        <v/>
      </c>
      <c r="X228" s="15" t="str">
        <f t="shared" si="225"/>
        <v/>
      </c>
      <c r="Y228" s="15" t="str">
        <f t="shared" si="225"/>
        <v/>
      </c>
      <c r="Z228" s="15" t="str">
        <f t="shared" si="225"/>
        <v/>
      </c>
      <c r="AA228" s="15" t="str">
        <f t="shared" si="225"/>
        <v/>
      </c>
      <c r="AB228" s="15" t="str">
        <f t="shared" si="225"/>
        <v/>
      </c>
      <c r="AC228" s="15" t="str">
        <f t="shared" si="225"/>
        <v/>
      </c>
      <c r="AD228" s="15" t="str">
        <f t="shared" si="225"/>
        <v/>
      </c>
      <c r="AE228" s="15" t="str">
        <f t="shared" si="225"/>
        <v/>
      </c>
      <c r="AF228" s="15" t="str">
        <f t="shared" si="225"/>
        <v/>
      </c>
      <c r="AG228" s="15" t="str">
        <f t="shared" si="225"/>
        <v/>
      </c>
      <c r="AH228" s="15" t="str">
        <f t="shared" si="225"/>
        <v/>
      </c>
      <c r="AI228" s="15" t="str">
        <f t="shared" si="225"/>
        <v/>
      </c>
      <c r="AJ228" s="15" t="str">
        <f t="shared" si="225"/>
        <v/>
      </c>
      <c r="AK228" s="15" t="str">
        <f t="shared" si="225"/>
        <v/>
      </c>
      <c r="AL228" s="15" t="str">
        <f t="shared" si="225"/>
        <v/>
      </c>
      <c r="AM228" s="15" t="str">
        <f t="shared" si="225"/>
        <v/>
      </c>
      <c r="AN228" s="15" t="str">
        <f t="shared" si="225"/>
        <v/>
      </c>
      <c r="AO228" s="15" t="str">
        <f t="shared" si="225"/>
        <v/>
      </c>
      <c r="AP228" s="15" t="str">
        <f t="shared" si="225"/>
        <v/>
      </c>
      <c r="AQ228" s="15" t="str">
        <f t="shared" si="225"/>
        <v/>
      </c>
      <c r="AR228" s="15" t="str">
        <f t="shared" si="225"/>
        <v/>
      </c>
      <c r="AS228" s="15" t="str">
        <f t="shared" si="225"/>
        <v/>
      </c>
      <c r="AT228" s="15" t="str">
        <f t="shared" si="225"/>
        <v/>
      </c>
      <c r="AU228" s="15" t="str">
        <f t="shared" si="225"/>
        <v/>
      </c>
      <c r="AV228" s="15" t="str">
        <f t="shared" si="225"/>
        <v/>
      </c>
      <c r="AW228" s="15" t="str">
        <f t="shared" si="225"/>
        <v/>
      </c>
      <c r="AX228" s="15" t="str">
        <f t="shared" si="225"/>
        <v/>
      </c>
      <c r="AY228" s="15" t="str">
        <f t="shared" si="225"/>
        <v/>
      </c>
    </row>
    <row r="229" ht="18.0" customHeight="1">
      <c r="A229" s="13" t="str">
        <f t="shared" si="1"/>
        <v/>
      </c>
      <c r="B229" s="13" t="str">
        <f t="shared" si="2"/>
        <v/>
      </c>
      <c r="C229" s="12" t="str">
        <f t="shared" si="3"/>
        <v/>
      </c>
      <c r="D229" s="12" t="str">
        <f t="shared" si="4"/>
        <v/>
      </c>
      <c r="E229" s="12" t="str">
        <f t="shared" si="5"/>
        <v/>
      </c>
      <c r="F229" s="12" t="str">
        <f t="shared" si="6"/>
        <v/>
      </c>
      <c r="G229" s="12" t="str">
        <f t="shared" si="7"/>
        <v/>
      </c>
      <c r="H229" s="12" t="str">
        <f t="shared" si="8"/>
        <v/>
      </c>
      <c r="I229" s="12" t="str">
        <f t="shared" si="9"/>
        <v/>
      </c>
      <c r="J229" s="12" t="str">
        <f t="shared" si="10"/>
        <v/>
      </c>
      <c r="L229" s="15" t="str">
        <f t="shared" ref="L229:AY229" si="226">IF(L$13="","",IF(AND(L$13&gt;$H228,L$13&lt;=$I228),IF(AND(MOD($B$6,2)=1,L$13=ROUNDUP($J228,0)),"0",IF(L$13=INT($H228)+1,ROUNDDOWN(ABS(L$13-$J228),0),IF(L$13=INT($I228),ROUNDUP(ABS(L$13-$J228),0),""))),""))</f>
        <v/>
      </c>
      <c r="M229" s="15" t="str">
        <f t="shared" si="226"/>
        <v/>
      </c>
      <c r="N229" s="15" t="str">
        <f t="shared" si="226"/>
        <v/>
      </c>
      <c r="O229" s="15" t="str">
        <f t="shared" si="226"/>
        <v/>
      </c>
      <c r="P229" s="15" t="str">
        <f t="shared" si="226"/>
        <v/>
      </c>
      <c r="Q229" s="15" t="str">
        <f t="shared" si="226"/>
        <v/>
      </c>
      <c r="R229" s="15" t="str">
        <f t="shared" si="226"/>
        <v/>
      </c>
      <c r="S229" s="15" t="str">
        <f t="shared" si="226"/>
        <v/>
      </c>
      <c r="T229" s="15" t="str">
        <f t="shared" si="226"/>
        <v/>
      </c>
      <c r="U229" s="15" t="str">
        <f t="shared" si="226"/>
        <v/>
      </c>
      <c r="V229" s="15" t="str">
        <f t="shared" si="226"/>
        <v/>
      </c>
      <c r="W229" s="15" t="str">
        <f t="shared" si="226"/>
        <v/>
      </c>
      <c r="X229" s="15" t="str">
        <f t="shared" si="226"/>
        <v/>
      </c>
      <c r="Y229" s="15" t="str">
        <f t="shared" si="226"/>
        <v/>
      </c>
      <c r="Z229" s="15" t="str">
        <f t="shared" si="226"/>
        <v/>
      </c>
      <c r="AA229" s="15" t="str">
        <f t="shared" si="226"/>
        <v/>
      </c>
      <c r="AB229" s="15" t="str">
        <f t="shared" si="226"/>
        <v/>
      </c>
      <c r="AC229" s="15" t="str">
        <f t="shared" si="226"/>
        <v/>
      </c>
      <c r="AD229" s="15" t="str">
        <f t="shared" si="226"/>
        <v/>
      </c>
      <c r="AE229" s="15" t="str">
        <f t="shared" si="226"/>
        <v/>
      </c>
      <c r="AF229" s="15" t="str">
        <f t="shared" si="226"/>
        <v/>
      </c>
      <c r="AG229" s="15" t="str">
        <f t="shared" si="226"/>
        <v/>
      </c>
      <c r="AH229" s="15" t="str">
        <f t="shared" si="226"/>
        <v/>
      </c>
      <c r="AI229" s="15" t="str">
        <f t="shared" si="226"/>
        <v/>
      </c>
      <c r="AJ229" s="15" t="str">
        <f t="shared" si="226"/>
        <v/>
      </c>
      <c r="AK229" s="15" t="str">
        <f t="shared" si="226"/>
        <v/>
      </c>
      <c r="AL229" s="15" t="str">
        <f t="shared" si="226"/>
        <v/>
      </c>
      <c r="AM229" s="15" t="str">
        <f t="shared" si="226"/>
        <v/>
      </c>
      <c r="AN229" s="15" t="str">
        <f t="shared" si="226"/>
        <v/>
      </c>
      <c r="AO229" s="15" t="str">
        <f t="shared" si="226"/>
        <v/>
      </c>
      <c r="AP229" s="15" t="str">
        <f t="shared" si="226"/>
        <v/>
      </c>
      <c r="AQ229" s="15" t="str">
        <f t="shared" si="226"/>
        <v/>
      </c>
      <c r="AR229" s="15" t="str">
        <f t="shared" si="226"/>
        <v/>
      </c>
      <c r="AS229" s="15" t="str">
        <f t="shared" si="226"/>
        <v/>
      </c>
      <c r="AT229" s="15" t="str">
        <f t="shared" si="226"/>
        <v/>
      </c>
      <c r="AU229" s="15" t="str">
        <f t="shared" si="226"/>
        <v/>
      </c>
      <c r="AV229" s="15" t="str">
        <f t="shared" si="226"/>
        <v/>
      </c>
      <c r="AW229" s="15" t="str">
        <f t="shared" si="226"/>
        <v/>
      </c>
      <c r="AX229" s="15" t="str">
        <f t="shared" si="226"/>
        <v/>
      </c>
      <c r="AY229" s="15" t="str">
        <f t="shared" si="226"/>
        <v/>
      </c>
    </row>
    <row r="230" ht="18.0" customHeight="1">
      <c r="A230" s="13" t="str">
        <f t="shared" si="1"/>
        <v/>
      </c>
      <c r="B230" s="13" t="str">
        <f t="shared" si="2"/>
        <v/>
      </c>
      <c r="C230" s="12" t="str">
        <f t="shared" si="3"/>
        <v/>
      </c>
      <c r="D230" s="12" t="str">
        <f t="shared" si="4"/>
        <v/>
      </c>
      <c r="E230" s="12" t="str">
        <f t="shared" si="5"/>
        <v/>
      </c>
      <c r="F230" s="12" t="str">
        <f t="shared" si="6"/>
        <v/>
      </c>
      <c r="G230" s="12" t="str">
        <f t="shared" si="7"/>
        <v/>
      </c>
      <c r="H230" s="12" t="str">
        <f t="shared" si="8"/>
        <v/>
      </c>
      <c r="I230" s="12" t="str">
        <f t="shared" si="9"/>
        <v/>
      </c>
      <c r="J230" s="12" t="str">
        <f t="shared" si="10"/>
        <v/>
      </c>
      <c r="L230" s="15" t="str">
        <f t="shared" ref="L230:AY230" si="227">IF(L$13="","",IF(AND(L$13&gt;$H229,L$13&lt;=$I229),IF(AND(MOD($B$6,2)=1,L$13=ROUNDUP($J229,0)),"0",IF(L$13=INT($H229)+1,ROUNDDOWN(ABS(L$13-$J229),0),IF(L$13=INT($I229),ROUNDUP(ABS(L$13-$J229),0),""))),""))</f>
        <v/>
      </c>
      <c r="M230" s="15" t="str">
        <f t="shared" si="227"/>
        <v/>
      </c>
      <c r="N230" s="15" t="str">
        <f t="shared" si="227"/>
        <v/>
      </c>
      <c r="O230" s="15" t="str">
        <f t="shared" si="227"/>
        <v/>
      </c>
      <c r="P230" s="15" t="str">
        <f t="shared" si="227"/>
        <v/>
      </c>
      <c r="Q230" s="15" t="str">
        <f t="shared" si="227"/>
        <v/>
      </c>
      <c r="R230" s="15" t="str">
        <f t="shared" si="227"/>
        <v/>
      </c>
      <c r="S230" s="15" t="str">
        <f t="shared" si="227"/>
        <v/>
      </c>
      <c r="T230" s="15" t="str">
        <f t="shared" si="227"/>
        <v/>
      </c>
      <c r="U230" s="15" t="str">
        <f t="shared" si="227"/>
        <v/>
      </c>
      <c r="V230" s="15" t="str">
        <f t="shared" si="227"/>
        <v/>
      </c>
      <c r="W230" s="15" t="str">
        <f t="shared" si="227"/>
        <v/>
      </c>
      <c r="X230" s="15" t="str">
        <f t="shared" si="227"/>
        <v/>
      </c>
      <c r="Y230" s="15" t="str">
        <f t="shared" si="227"/>
        <v/>
      </c>
      <c r="Z230" s="15" t="str">
        <f t="shared" si="227"/>
        <v/>
      </c>
      <c r="AA230" s="15" t="str">
        <f t="shared" si="227"/>
        <v/>
      </c>
      <c r="AB230" s="15" t="str">
        <f t="shared" si="227"/>
        <v/>
      </c>
      <c r="AC230" s="15" t="str">
        <f t="shared" si="227"/>
        <v/>
      </c>
      <c r="AD230" s="15" t="str">
        <f t="shared" si="227"/>
        <v/>
      </c>
      <c r="AE230" s="15" t="str">
        <f t="shared" si="227"/>
        <v/>
      </c>
      <c r="AF230" s="15" t="str">
        <f t="shared" si="227"/>
        <v/>
      </c>
      <c r="AG230" s="15" t="str">
        <f t="shared" si="227"/>
        <v/>
      </c>
      <c r="AH230" s="15" t="str">
        <f t="shared" si="227"/>
        <v/>
      </c>
      <c r="AI230" s="15" t="str">
        <f t="shared" si="227"/>
        <v/>
      </c>
      <c r="AJ230" s="15" t="str">
        <f t="shared" si="227"/>
        <v/>
      </c>
      <c r="AK230" s="15" t="str">
        <f t="shared" si="227"/>
        <v/>
      </c>
      <c r="AL230" s="15" t="str">
        <f t="shared" si="227"/>
        <v/>
      </c>
      <c r="AM230" s="15" t="str">
        <f t="shared" si="227"/>
        <v/>
      </c>
      <c r="AN230" s="15" t="str">
        <f t="shared" si="227"/>
        <v/>
      </c>
      <c r="AO230" s="15" t="str">
        <f t="shared" si="227"/>
        <v/>
      </c>
      <c r="AP230" s="15" t="str">
        <f t="shared" si="227"/>
        <v/>
      </c>
      <c r="AQ230" s="15" t="str">
        <f t="shared" si="227"/>
        <v/>
      </c>
      <c r="AR230" s="15" t="str">
        <f t="shared" si="227"/>
        <v/>
      </c>
      <c r="AS230" s="15" t="str">
        <f t="shared" si="227"/>
        <v/>
      </c>
      <c r="AT230" s="15" t="str">
        <f t="shared" si="227"/>
        <v/>
      </c>
      <c r="AU230" s="15" t="str">
        <f t="shared" si="227"/>
        <v/>
      </c>
      <c r="AV230" s="15" t="str">
        <f t="shared" si="227"/>
        <v/>
      </c>
      <c r="AW230" s="15" t="str">
        <f t="shared" si="227"/>
        <v/>
      </c>
      <c r="AX230" s="15" t="str">
        <f t="shared" si="227"/>
        <v/>
      </c>
      <c r="AY230" s="15" t="str">
        <f t="shared" si="227"/>
        <v/>
      </c>
    </row>
    <row r="231" ht="18.0" customHeight="1">
      <c r="A231" s="13" t="str">
        <f t="shared" si="1"/>
        <v/>
      </c>
      <c r="B231" s="13" t="str">
        <f t="shared" si="2"/>
        <v/>
      </c>
      <c r="C231" s="12" t="str">
        <f t="shared" si="3"/>
        <v/>
      </c>
      <c r="D231" s="12" t="str">
        <f t="shared" si="4"/>
        <v/>
      </c>
      <c r="E231" s="12" t="str">
        <f t="shared" si="5"/>
        <v/>
      </c>
      <c r="F231" s="12" t="str">
        <f t="shared" si="6"/>
        <v/>
      </c>
      <c r="G231" s="12" t="str">
        <f t="shared" si="7"/>
        <v/>
      </c>
      <c r="H231" s="12" t="str">
        <f t="shared" si="8"/>
        <v/>
      </c>
      <c r="I231" s="12" t="str">
        <f t="shared" si="9"/>
        <v/>
      </c>
      <c r="J231" s="12" t="str">
        <f t="shared" si="10"/>
        <v/>
      </c>
      <c r="L231" s="15" t="str">
        <f t="shared" ref="L231:AY231" si="228">IF(L$13="","",IF(AND(L$13&gt;$H230,L$13&lt;=$I230),IF(AND(MOD($B$6,2)=1,L$13=ROUNDUP($J230,0)),"0",IF(L$13=INT($H230)+1,ROUNDDOWN(ABS(L$13-$J230),0),IF(L$13=INT($I230),ROUNDUP(ABS(L$13-$J230),0),""))),""))</f>
        <v/>
      </c>
      <c r="M231" s="15" t="str">
        <f t="shared" si="228"/>
        <v/>
      </c>
      <c r="N231" s="15" t="str">
        <f t="shared" si="228"/>
        <v/>
      </c>
      <c r="O231" s="15" t="str">
        <f t="shared" si="228"/>
        <v/>
      </c>
      <c r="P231" s="15" t="str">
        <f t="shared" si="228"/>
        <v/>
      </c>
      <c r="Q231" s="15" t="str">
        <f t="shared" si="228"/>
        <v/>
      </c>
      <c r="R231" s="15" t="str">
        <f t="shared" si="228"/>
        <v/>
      </c>
      <c r="S231" s="15" t="str">
        <f t="shared" si="228"/>
        <v/>
      </c>
      <c r="T231" s="15" t="str">
        <f t="shared" si="228"/>
        <v/>
      </c>
      <c r="U231" s="15" t="str">
        <f t="shared" si="228"/>
        <v/>
      </c>
      <c r="V231" s="15" t="str">
        <f t="shared" si="228"/>
        <v/>
      </c>
      <c r="W231" s="15" t="str">
        <f t="shared" si="228"/>
        <v/>
      </c>
      <c r="X231" s="15" t="str">
        <f t="shared" si="228"/>
        <v/>
      </c>
      <c r="Y231" s="15" t="str">
        <f t="shared" si="228"/>
        <v/>
      </c>
      <c r="Z231" s="15" t="str">
        <f t="shared" si="228"/>
        <v/>
      </c>
      <c r="AA231" s="15" t="str">
        <f t="shared" si="228"/>
        <v/>
      </c>
      <c r="AB231" s="15" t="str">
        <f t="shared" si="228"/>
        <v/>
      </c>
      <c r="AC231" s="15" t="str">
        <f t="shared" si="228"/>
        <v/>
      </c>
      <c r="AD231" s="15" t="str">
        <f t="shared" si="228"/>
        <v/>
      </c>
      <c r="AE231" s="15" t="str">
        <f t="shared" si="228"/>
        <v/>
      </c>
      <c r="AF231" s="15" t="str">
        <f t="shared" si="228"/>
        <v/>
      </c>
      <c r="AG231" s="15" t="str">
        <f t="shared" si="228"/>
        <v/>
      </c>
      <c r="AH231" s="15" t="str">
        <f t="shared" si="228"/>
        <v/>
      </c>
      <c r="AI231" s="15" t="str">
        <f t="shared" si="228"/>
        <v/>
      </c>
      <c r="AJ231" s="15" t="str">
        <f t="shared" si="228"/>
        <v/>
      </c>
      <c r="AK231" s="15" t="str">
        <f t="shared" si="228"/>
        <v/>
      </c>
      <c r="AL231" s="15" t="str">
        <f t="shared" si="228"/>
        <v/>
      </c>
      <c r="AM231" s="15" t="str">
        <f t="shared" si="228"/>
        <v/>
      </c>
      <c r="AN231" s="15" t="str">
        <f t="shared" si="228"/>
        <v/>
      </c>
      <c r="AO231" s="15" t="str">
        <f t="shared" si="228"/>
        <v/>
      </c>
      <c r="AP231" s="15" t="str">
        <f t="shared" si="228"/>
        <v/>
      </c>
      <c r="AQ231" s="15" t="str">
        <f t="shared" si="228"/>
        <v/>
      </c>
      <c r="AR231" s="15" t="str">
        <f t="shared" si="228"/>
        <v/>
      </c>
      <c r="AS231" s="15" t="str">
        <f t="shared" si="228"/>
        <v/>
      </c>
      <c r="AT231" s="15" t="str">
        <f t="shared" si="228"/>
        <v/>
      </c>
      <c r="AU231" s="15" t="str">
        <f t="shared" si="228"/>
        <v/>
      </c>
      <c r="AV231" s="15" t="str">
        <f t="shared" si="228"/>
        <v/>
      </c>
      <c r="AW231" s="15" t="str">
        <f t="shared" si="228"/>
        <v/>
      </c>
      <c r="AX231" s="15" t="str">
        <f t="shared" si="228"/>
        <v/>
      </c>
      <c r="AY231" s="15" t="str">
        <f t="shared" si="228"/>
        <v/>
      </c>
    </row>
    <row r="232" ht="18.0" customHeight="1">
      <c r="A232" s="13" t="str">
        <f t="shared" si="1"/>
        <v/>
      </c>
      <c r="B232" s="13" t="str">
        <f t="shared" si="2"/>
        <v/>
      </c>
      <c r="C232" s="12" t="str">
        <f t="shared" si="3"/>
        <v/>
      </c>
      <c r="D232" s="12" t="str">
        <f t="shared" si="4"/>
        <v/>
      </c>
      <c r="E232" s="12" t="str">
        <f t="shared" si="5"/>
        <v/>
      </c>
      <c r="F232" s="12" t="str">
        <f t="shared" si="6"/>
        <v/>
      </c>
      <c r="G232" s="12" t="str">
        <f t="shared" si="7"/>
        <v/>
      </c>
      <c r="H232" s="12" t="str">
        <f t="shared" si="8"/>
        <v/>
      </c>
      <c r="I232" s="12" t="str">
        <f t="shared" si="9"/>
        <v/>
      </c>
      <c r="J232" s="12" t="str">
        <f t="shared" si="10"/>
        <v/>
      </c>
      <c r="L232" s="15" t="str">
        <f t="shared" ref="L232:AY232" si="229">IF(L$13="","",IF(AND(L$13&gt;$H231,L$13&lt;=$I231),IF(AND(MOD($B$6,2)=1,L$13=ROUNDUP($J231,0)),"0",IF(L$13=INT($H231)+1,ROUNDDOWN(ABS(L$13-$J231),0),IF(L$13=INT($I231),ROUNDUP(ABS(L$13-$J231),0),""))),""))</f>
        <v/>
      </c>
      <c r="M232" s="15" t="str">
        <f t="shared" si="229"/>
        <v/>
      </c>
      <c r="N232" s="15" t="str">
        <f t="shared" si="229"/>
        <v/>
      </c>
      <c r="O232" s="15" t="str">
        <f t="shared" si="229"/>
        <v/>
      </c>
      <c r="P232" s="15" t="str">
        <f t="shared" si="229"/>
        <v/>
      </c>
      <c r="Q232" s="15" t="str">
        <f t="shared" si="229"/>
        <v/>
      </c>
      <c r="R232" s="15" t="str">
        <f t="shared" si="229"/>
        <v/>
      </c>
      <c r="S232" s="15" t="str">
        <f t="shared" si="229"/>
        <v/>
      </c>
      <c r="T232" s="15" t="str">
        <f t="shared" si="229"/>
        <v/>
      </c>
      <c r="U232" s="15" t="str">
        <f t="shared" si="229"/>
        <v/>
      </c>
      <c r="V232" s="15" t="str">
        <f t="shared" si="229"/>
        <v/>
      </c>
      <c r="W232" s="15" t="str">
        <f t="shared" si="229"/>
        <v/>
      </c>
      <c r="X232" s="15" t="str">
        <f t="shared" si="229"/>
        <v/>
      </c>
      <c r="Y232" s="15" t="str">
        <f t="shared" si="229"/>
        <v/>
      </c>
      <c r="Z232" s="15" t="str">
        <f t="shared" si="229"/>
        <v/>
      </c>
      <c r="AA232" s="15" t="str">
        <f t="shared" si="229"/>
        <v/>
      </c>
      <c r="AB232" s="15" t="str">
        <f t="shared" si="229"/>
        <v/>
      </c>
      <c r="AC232" s="15" t="str">
        <f t="shared" si="229"/>
        <v/>
      </c>
      <c r="AD232" s="15" t="str">
        <f t="shared" si="229"/>
        <v/>
      </c>
      <c r="AE232" s="15" t="str">
        <f t="shared" si="229"/>
        <v/>
      </c>
      <c r="AF232" s="15" t="str">
        <f t="shared" si="229"/>
        <v/>
      </c>
      <c r="AG232" s="15" t="str">
        <f t="shared" si="229"/>
        <v/>
      </c>
      <c r="AH232" s="15" t="str">
        <f t="shared" si="229"/>
        <v/>
      </c>
      <c r="AI232" s="15" t="str">
        <f t="shared" si="229"/>
        <v/>
      </c>
      <c r="AJ232" s="15" t="str">
        <f t="shared" si="229"/>
        <v/>
      </c>
      <c r="AK232" s="15" t="str">
        <f t="shared" si="229"/>
        <v/>
      </c>
      <c r="AL232" s="15" t="str">
        <f t="shared" si="229"/>
        <v/>
      </c>
      <c r="AM232" s="15" t="str">
        <f t="shared" si="229"/>
        <v/>
      </c>
      <c r="AN232" s="15" t="str">
        <f t="shared" si="229"/>
        <v/>
      </c>
      <c r="AO232" s="15" t="str">
        <f t="shared" si="229"/>
        <v/>
      </c>
      <c r="AP232" s="15" t="str">
        <f t="shared" si="229"/>
        <v/>
      </c>
      <c r="AQ232" s="15" t="str">
        <f t="shared" si="229"/>
        <v/>
      </c>
      <c r="AR232" s="15" t="str">
        <f t="shared" si="229"/>
        <v/>
      </c>
      <c r="AS232" s="15" t="str">
        <f t="shared" si="229"/>
        <v/>
      </c>
      <c r="AT232" s="15" t="str">
        <f t="shared" si="229"/>
        <v/>
      </c>
      <c r="AU232" s="15" t="str">
        <f t="shared" si="229"/>
        <v/>
      </c>
      <c r="AV232" s="15" t="str">
        <f t="shared" si="229"/>
        <v/>
      </c>
      <c r="AW232" s="15" t="str">
        <f t="shared" si="229"/>
        <v/>
      </c>
      <c r="AX232" s="15" t="str">
        <f t="shared" si="229"/>
        <v/>
      </c>
      <c r="AY232" s="15" t="str">
        <f t="shared" si="229"/>
        <v/>
      </c>
    </row>
    <row r="233" ht="18.0" customHeight="1">
      <c r="A233" s="13" t="str">
        <f t="shared" si="1"/>
        <v/>
      </c>
      <c r="B233" s="13" t="str">
        <f t="shared" si="2"/>
        <v/>
      </c>
      <c r="C233" s="12" t="str">
        <f t="shared" si="3"/>
        <v/>
      </c>
      <c r="D233" s="12" t="str">
        <f t="shared" si="4"/>
        <v/>
      </c>
      <c r="E233" s="12" t="str">
        <f t="shared" si="5"/>
        <v/>
      </c>
      <c r="F233" s="12" t="str">
        <f t="shared" si="6"/>
        <v/>
      </c>
      <c r="G233" s="12" t="str">
        <f t="shared" si="7"/>
        <v/>
      </c>
      <c r="H233" s="12" t="str">
        <f t="shared" si="8"/>
        <v/>
      </c>
      <c r="I233" s="12" t="str">
        <f t="shared" si="9"/>
        <v/>
      </c>
      <c r="J233" s="12" t="str">
        <f t="shared" si="10"/>
        <v/>
      </c>
      <c r="L233" s="15" t="str">
        <f t="shared" ref="L233:AY233" si="230">IF(L$13="","",IF(AND(L$13&gt;$H232,L$13&lt;=$I232),IF(AND(MOD($B$6,2)=1,L$13=ROUNDUP($J232,0)),"0",IF(L$13=INT($H232)+1,ROUNDDOWN(ABS(L$13-$J232),0),IF(L$13=INT($I232),ROUNDUP(ABS(L$13-$J232),0),""))),""))</f>
        <v/>
      </c>
      <c r="M233" s="15" t="str">
        <f t="shared" si="230"/>
        <v/>
      </c>
      <c r="N233" s="15" t="str">
        <f t="shared" si="230"/>
        <v/>
      </c>
      <c r="O233" s="15" t="str">
        <f t="shared" si="230"/>
        <v/>
      </c>
      <c r="P233" s="15" t="str">
        <f t="shared" si="230"/>
        <v/>
      </c>
      <c r="Q233" s="15" t="str">
        <f t="shared" si="230"/>
        <v/>
      </c>
      <c r="R233" s="15" t="str">
        <f t="shared" si="230"/>
        <v/>
      </c>
      <c r="S233" s="15" t="str">
        <f t="shared" si="230"/>
        <v/>
      </c>
      <c r="T233" s="15" t="str">
        <f t="shared" si="230"/>
        <v/>
      </c>
      <c r="U233" s="15" t="str">
        <f t="shared" si="230"/>
        <v/>
      </c>
      <c r="V233" s="15" t="str">
        <f t="shared" si="230"/>
        <v/>
      </c>
      <c r="W233" s="15" t="str">
        <f t="shared" si="230"/>
        <v/>
      </c>
      <c r="X233" s="15" t="str">
        <f t="shared" si="230"/>
        <v/>
      </c>
      <c r="Y233" s="15" t="str">
        <f t="shared" si="230"/>
        <v/>
      </c>
      <c r="Z233" s="15" t="str">
        <f t="shared" si="230"/>
        <v/>
      </c>
      <c r="AA233" s="15" t="str">
        <f t="shared" si="230"/>
        <v/>
      </c>
      <c r="AB233" s="15" t="str">
        <f t="shared" si="230"/>
        <v/>
      </c>
      <c r="AC233" s="15" t="str">
        <f t="shared" si="230"/>
        <v/>
      </c>
      <c r="AD233" s="15" t="str">
        <f t="shared" si="230"/>
        <v/>
      </c>
      <c r="AE233" s="15" t="str">
        <f t="shared" si="230"/>
        <v/>
      </c>
      <c r="AF233" s="15" t="str">
        <f t="shared" si="230"/>
        <v/>
      </c>
      <c r="AG233" s="15" t="str">
        <f t="shared" si="230"/>
        <v/>
      </c>
      <c r="AH233" s="15" t="str">
        <f t="shared" si="230"/>
        <v/>
      </c>
      <c r="AI233" s="15" t="str">
        <f t="shared" si="230"/>
        <v/>
      </c>
      <c r="AJ233" s="15" t="str">
        <f t="shared" si="230"/>
        <v/>
      </c>
      <c r="AK233" s="15" t="str">
        <f t="shared" si="230"/>
        <v/>
      </c>
      <c r="AL233" s="15" t="str">
        <f t="shared" si="230"/>
        <v/>
      </c>
      <c r="AM233" s="15" t="str">
        <f t="shared" si="230"/>
        <v/>
      </c>
      <c r="AN233" s="15" t="str">
        <f t="shared" si="230"/>
        <v/>
      </c>
      <c r="AO233" s="15" t="str">
        <f t="shared" si="230"/>
        <v/>
      </c>
      <c r="AP233" s="15" t="str">
        <f t="shared" si="230"/>
        <v/>
      </c>
      <c r="AQ233" s="15" t="str">
        <f t="shared" si="230"/>
        <v/>
      </c>
      <c r="AR233" s="15" t="str">
        <f t="shared" si="230"/>
        <v/>
      </c>
      <c r="AS233" s="15" t="str">
        <f t="shared" si="230"/>
        <v/>
      </c>
      <c r="AT233" s="15" t="str">
        <f t="shared" si="230"/>
        <v/>
      </c>
      <c r="AU233" s="15" t="str">
        <f t="shared" si="230"/>
        <v/>
      </c>
      <c r="AV233" s="15" t="str">
        <f t="shared" si="230"/>
        <v/>
      </c>
      <c r="AW233" s="15" t="str">
        <f t="shared" si="230"/>
        <v/>
      </c>
      <c r="AX233" s="15" t="str">
        <f t="shared" si="230"/>
        <v/>
      </c>
      <c r="AY233" s="15" t="str">
        <f t="shared" si="230"/>
        <v/>
      </c>
    </row>
    <row r="234" ht="18.0" customHeight="1">
      <c r="A234" s="13" t="str">
        <f t="shared" si="1"/>
        <v/>
      </c>
      <c r="B234" s="13" t="str">
        <f t="shared" si="2"/>
        <v/>
      </c>
      <c r="C234" s="12" t="str">
        <f t="shared" si="3"/>
        <v/>
      </c>
      <c r="D234" s="12" t="str">
        <f t="shared" si="4"/>
        <v/>
      </c>
      <c r="E234" s="12" t="str">
        <f t="shared" si="5"/>
        <v/>
      </c>
      <c r="F234" s="12" t="str">
        <f t="shared" si="6"/>
        <v/>
      </c>
      <c r="G234" s="12" t="str">
        <f t="shared" si="7"/>
        <v/>
      </c>
      <c r="H234" s="12" t="str">
        <f t="shared" si="8"/>
        <v/>
      </c>
      <c r="I234" s="12" t="str">
        <f t="shared" si="9"/>
        <v/>
      </c>
      <c r="J234" s="12" t="str">
        <f t="shared" si="10"/>
        <v/>
      </c>
      <c r="L234" s="15" t="str">
        <f t="shared" ref="L234:AY234" si="231">IF(L$13="","",IF(AND(L$13&gt;$H233,L$13&lt;=$I233),IF(AND(MOD($B$6,2)=1,L$13=ROUNDUP($J233,0)),"0",IF(L$13=INT($H233)+1,ROUNDDOWN(ABS(L$13-$J233),0),IF(L$13=INT($I233),ROUNDUP(ABS(L$13-$J233),0),""))),""))</f>
        <v/>
      </c>
      <c r="M234" s="15" t="str">
        <f t="shared" si="231"/>
        <v/>
      </c>
      <c r="N234" s="15" t="str">
        <f t="shared" si="231"/>
        <v/>
      </c>
      <c r="O234" s="15" t="str">
        <f t="shared" si="231"/>
        <v/>
      </c>
      <c r="P234" s="15" t="str">
        <f t="shared" si="231"/>
        <v/>
      </c>
      <c r="Q234" s="15" t="str">
        <f t="shared" si="231"/>
        <v/>
      </c>
      <c r="R234" s="15" t="str">
        <f t="shared" si="231"/>
        <v/>
      </c>
      <c r="S234" s="15" t="str">
        <f t="shared" si="231"/>
        <v/>
      </c>
      <c r="T234" s="15" t="str">
        <f t="shared" si="231"/>
        <v/>
      </c>
      <c r="U234" s="15" t="str">
        <f t="shared" si="231"/>
        <v/>
      </c>
      <c r="V234" s="15" t="str">
        <f t="shared" si="231"/>
        <v/>
      </c>
      <c r="W234" s="15" t="str">
        <f t="shared" si="231"/>
        <v/>
      </c>
      <c r="X234" s="15" t="str">
        <f t="shared" si="231"/>
        <v/>
      </c>
      <c r="Y234" s="15" t="str">
        <f t="shared" si="231"/>
        <v/>
      </c>
      <c r="Z234" s="15" t="str">
        <f t="shared" si="231"/>
        <v/>
      </c>
      <c r="AA234" s="15" t="str">
        <f t="shared" si="231"/>
        <v/>
      </c>
      <c r="AB234" s="15" t="str">
        <f t="shared" si="231"/>
        <v/>
      </c>
      <c r="AC234" s="15" t="str">
        <f t="shared" si="231"/>
        <v/>
      </c>
      <c r="AD234" s="15" t="str">
        <f t="shared" si="231"/>
        <v/>
      </c>
      <c r="AE234" s="15" t="str">
        <f t="shared" si="231"/>
        <v/>
      </c>
      <c r="AF234" s="15" t="str">
        <f t="shared" si="231"/>
        <v/>
      </c>
      <c r="AG234" s="15" t="str">
        <f t="shared" si="231"/>
        <v/>
      </c>
      <c r="AH234" s="15" t="str">
        <f t="shared" si="231"/>
        <v/>
      </c>
      <c r="AI234" s="15" t="str">
        <f t="shared" si="231"/>
        <v/>
      </c>
      <c r="AJ234" s="15" t="str">
        <f t="shared" si="231"/>
        <v/>
      </c>
      <c r="AK234" s="15" t="str">
        <f t="shared" si="231"/>
        <v/>
      </c>
      <c r="AL234" s="15" t="str">
        <f t="shared" si="231"/>
        <v/>
      </c>
      <c r="AM234" s="15" t="str">
        <f t="shared" si="231"/>
        <v/>
      </c>
      <c r="AN234" s="15" t="str">
        <f t="shared" si="231"/>
        <v/>
      </c>
      <c r="AO234" s="15" t="str">
        <f t="shared" si="231"/>
        <v/>
      </c>
      <c r="AP234" s="15" t="str">
        <f t="shared" si="231"/>
        <v/>
      </c>
      <c r="AQ234" s="15" t="str">
        <f t="shared" si="231"/>
        <v/>
      </c>
      <c r="AR234" s="15" t="str">
        <f t="shared" si="231"/>
        <v/>
      </c>
      <c r="AS234" s="15" t="str">
        <f t="shared" si="231"/>
        <v/>
      </c>
      <c r="AT234" s="15" t="str">
        <f t="shared" si="231"/>
        <v/>
      </c>
      <c r="AU234" s="15" t="str">
        <f t="shared" si="231"/>
        <v/>
      </c>
      <c r="AV234" s="15" t="str">
        <f t="shared" si="231"/>
        <v/>
      </c>
      <c r="AW234" s="15" t="str">
        <f t="shared" si="231"/>
        <v/>
      </c>
      <c r="AX234" s="15" t="str">
        <f t="shared" si="231"/>
        <v/>
      </c>
      <c r="AY234" s="15" t="str">
        <f t="shared" si="231"/>
        <v/>
      </c>
    </row>
    <row r="235" ht="18.0" customHeight="1">
      <c r="A235" s="13" t="str">
        <f t="shared" si="1"/>
        <v/>
      </c>
      <c r="B235" s="13" t="str">
        <f t="shared" si="2"/>
        <v/>
      </c>
      <c r="C235" s="12" t="str">
        <f t="shared" si="3"/>
        <v/>
      </c>
      <c r="D235" s="12" t="str">
        <f t="shared" si="4"/>
        <v/>
      </c>
      <c r="E235" s="12" t="str">
        <f t="shared" si="5"/>
        <v/>
      </c>
      <c r="F235" s="12" t="str">
        <f t="shared" si="6"/>
        <v/>
      </c>
      <c r="G235" s="12" t="str">
        <f t="shared" si="7"/>
        <v/>
      </c>
      <c r="H235" s="12" t="str">
        <f t="shared" si="8"/>
        <v/>
      </c>
      <c r="I235" s="12" t="str">
        <f t="shared" si="9"/>
        <v/>
      </c>
      <c r="J235" s="12" t="str">
        <f t="shared" si="10"/>
        <v/>
      </c>
      <c r="L235" s="15" t="str">
        <f t="shared" ref="L235:AY235" si="232">IF(L$13="","",IF(AND(L$13&gt;$H234,L$13&lt;=$I234),IF(AND(MOD($B$6,2)=1,L$13=ROUNDUP($J234,0)),"0",IF(L$13=INT($H234)+1,ROUNDDOWN(ABS(L$13-$J234),0),IF(L$13=INT($I234),ROUNDUP(ABS(L$13-$J234),0),""))),""))</f>
        <v/>
      </c>
      <c r="M235" s="15" t="str">
        <f t="shared" si="232"/>
        <v/>
      </c>
      <c r="N235" s="15" t="str">
        <f t="shared" si="232"/>
        <v/>
      </c>
      <c r="O235" s="15" t="str">
        <f t="shared" si="232"/>
        <v/>
      </c>
      <c r="P235" s="15" t="str">
        <f t="shared" si="232"/>
        <v/>
      </c>
      <c r="Q235" s="15" t="str">
        <f t="shared" si="232"/>
        <v/>
      </c>
      <c r="R235" s="15" t="str">
        <f t="shared" si="232"/>
        <v/>
      </c>
      <c r="S235" s="15" t="str">
        <f t="shared" si="232"/>
        <v/>
      </c>
      <c r="T235" s="15" t="str">
        <f t="shared" si="232"/>
        <v/>
      </c>
      <c r="U235" s="15" t="str">
        <f t="shared" si="232"/>
        <v/>
      </c>
      <c r="V235" s="15" t="str">
        <f t="shared" si="232"/>
        <v/>
      </c>
      <c r="W235" s="15" t="str">
        <f t="shared" si="232"/>
        <v/>
      </c>
      <c r="X235" s="15" t="str">
        <f t="shared" si="232"/>
        <v/>
      </c>
      <c r="Y235" s="15" t="str">
        <f t="shared" si="232"/>
        <v/>
      </c>
      <c r="Z235" s="15" t="str">
        <f t="shared" si="232"/>
        <v/>
      </c>
      <c r="AA235" s="15" t="str">
        <f t="shared" si="232"/>
        <v/>
      </c>
      <c r="AB235" s="15" t="str">
        <f t="shared" si="232"/>
        <v/>
      </c>
      <c r="AC235" s="15" t="str">
        <f t="shared" si="232"/>
        <v/>
      </c>
      <c r="AD235" s="15" t="str">
        <f t="shared" si="232"/>
        <v/>
      </c>
      <c r="AE235" s="15" t="str">
        <f t="shared" si="232"/>
        <v/>
      </c>
      <c r="AF235" s="15" t="str">
        <f t="shared" si="232"/>
        <v/>
      </c>
      <c r="AG235" s="15" t="str">
        <f t="shared" si="232"/>
        <v/>
      </c>
      <c r="AH235" s="15" t="str">
        <f t="shared" si="232"/>
        <v/>
      </c>
      <c r="AI235" s="15" t="str">
        <f t="shared" si="232"/>
        <v/>
      </c>
      <c r="AJ235" s="15" t="str">
        <f t="shared" si="232"/>
        <v/>
      </c>
      <c r="AK235" s="15" t="str">
        <f t="shared" si="232"/>
        <v/>
      </c>
      <c r="AL235" s="15" t="str">
        <f t="shared" si="232"/>
        <v/>
      </c>
      <c r="AM235" s="15" t="str">
        <f t="shared" si="232"/>
        <v/>
      </c>
      <c r="AN235" s="15" t="str">
        <f t="shared" si="232"/>
        <v/>
      </c>
      <c r="AO235" s="15" t="str">
        <f t="shared" si="232"/>
        <v/>
      </c>
      <c r="AP235" s="15" t="str">
        <f t="shared" si="232"/>
        <v/>
      </c>
      <c r="AQ235" s="15" t="str">
        <f t="shared" si="232"/>
        <v/>
      </c>
      <c r="AR235" s="15" t="str">
        <f t="shared" si="232"/>
        <v/>
      </c>
      <c r="AS235" s="15" t="str">
        <f t="shared" si="232"/>
        <v/>
      </c>
      <c r="AT235" s="15" t="str">
        <f t="shared" si="232"/>
        <v/>
      </c>
      <c r="AU235" s="15" t="str">
        <f t="shared" si="232"/>
        <v/>
      </c>
      <c r="AV235" s="15" t="str">
        <f t="shared" si="232"/>
        <v/>
      </c>
      <c r="AW235" s="15" t="str">
        <f t="shared" si="232"/>
        <v/>
      </c>
      <c r="AX235" s="15" t="str">
        <f t="shared" si="232"/>
        <v/>
      </c>
      <c r="AY235" s="15" t="str">
        <f t="shared" si="232"/>
        <v/>
      </c>
    </row>
    <row r="236" ht="18.0" customHeight="1">
      <c r="A236" s="13" t="str">
        <f t="shared" si="1"/>
        <v/>
      </c>
      <c r="B236" s="13" t="str">
        <f t="shared" si="2"/>
        <v/>
      </c>
      <c r="C236" s="12" t="str">
        <f t="shared" si="3"/>
        <v/>
      </c>
      <c r="D236" s="12" t="str">
        <f t="shared" si="4"/>
        <v/>
      </c>
      <c r="E236" s="12" t="str">
        <f t="shared" si="5"/>
        <v/>
      </c>
      <c r="F236" s="12" t="str">
        <f t="shared" si="6"/>
        <v/>
      </c>
      <c r="G236" s="12" t="str">
        <f t="shared" si="7"/>
        <v/>
      </c>
      <c r="H236" s="12" t="str">
        <f t="shared" si="8"/>
        <v/>
      </c>
      <c r="I236" s="12" t="str">
        <f t="shared" si="9"/>
        <v/>
      </c>
      <c r="J236" s="12" t="str">
        <f t="shared" si="10"/>
        <v/>
      </c>
      <c r="L236" s="15" t="str">
        <f t="shared" ref="L236:AY236" si="233">IF(L$13="","",IF(AND(L$13&gt;$H235,L$13&lt;=$I235),IF(AND(MOD($B$6,2)=1,L$13=ROUNDUP($J235,0)),"0",IF(L$13=INT($H235)+1,ROUNDDOWN(ABS(L$13-$J235),0),IF(L$13=INT($I235),ROUNDUP(ABS(L$13-$J235),0),""))),""))</f>
        <v/>
      </c>
      <c r="M236" s="15" t="str">
        <f t="shared" si="233"/>
        <v/>
      </c>
      <c r="N236" s="15" t="str">
        <f t="shared" si="233"/>
        <v/>
      </c>
      <c r="O236" s="15" t="str">
        <f t="shared" si="233"/>
        <v/>
      </c>
      <c r="P236" s="15" t="str">
        <f t="shared" si="233"/>
        <v/>
      </c>
      <c r="Q236" s="15" t="str">
        <f t="shared" si="233"/>
        <v/>
      </c>
      <c r="R236" s="15" t="str">
        <f t="shared" si="233"/>
        <v/>
      </c>
      <c r="S236" s="15" t="str">
        <f t="shared" si="233"/>
        <v/>
      </c>
      <c r="T236" s="15" t="str">
        <f t="shared" si="233"/>
        <v/>
      </c>
      <c r="U236" s="15" t="str">
        <f t="shared" si="233"/>
        <v/>
      </c>
      <c r="V236" s="15" t="str">
        <f t="shared" si="233"/>
        <v/>
      </c>
      <c r="W236" s="15" t="str">
        <f t="shared" si="233"/>
        <v/>
      </c>
      <c r="X236" s="15" t="str">
        <f t="shared" si="233"/>
        <v/>
      </c>
      <c r="Y236" s="15" t="str">
        <f t="shared" si="233"/>
        <v/>
      </c>
      <c r="Z236" s="15" t="str">
        <f t="shared" si="233"/>
        <v/>
      </c>
      <c r="AA236" s="15" t="str">
        <f t="shared" si="233"/>
        <v/>
      </c>
      <c r="AB236" s="15" t="str">
        <f t="shared" si="233"/>
        <v/>
      </c>
      <c r="AC236" s="15" t="str">
        <f t="shared" si="233"/>
        <v/>
      </c>
      <c r="AD236" s="15" t="str">
        <f t="shared" si="233"/>
        <v/>
      </c>
      <c r="AE236" s="15" t="str">
        <f t="shared" si="233"/>
        <v/>
      </c>
      <c r="AF236" s="15" t="str">
        <f t="shared" si="233"/>
        <v/>
      </c>
      <c r="AG236" s="15" t="str">
        <f t="shared" si="233"/>
        <v/>
      </c>
      <c r="AH236" s="15" t="str">
        <f t="shared" si="233"/>
        <v/>
      </c>
      <c r="AI236" s="15" t="str">
        <f t="shared" si="233"/>
        <v/>
      </c>
      <c r="AJ236" s="15" t="str">
        <f t="shared" si="233"/>
        <v/>
      </c>
      <c r="AK236" s="15" t="str">
        <f t="shared" si="233"/>
        <v/>
      </c>
      <c r="AL236" s="15" t="str">
        <f t="shared" si="233"/>
        <v/>
      </c>
      <c r="AM236" s="15" t="str">
        <f t="shared" si="233"/>
        <v/>
      </c>
      <c r="AN236" s="15" t="str">
        <f t="shared" si="233"/>
        <v/>
      </c>
      <c r="AO236" s="15" t="str">
        <f t="shared" si="233"/>
        <v/>
      </c>
      <c r="AP236" s="15" t="str">
        <f t="shared" si="233"/>
        <v/>
      </c>
      <c r="AQ236" s="15" t="str">
        <f t="shared" si="233"/>
        <v/>
      </c>
      <c r="AR236" s="15" t="str">
        <f t="shared" si="233"/>
        <v/>
      </c>
      <c r="AS236" s="15" t="str">
        <f t="shared" si="233"/>
        <v/>
      </c>
      <c r="AT236" s="15" t="str">
        <f t="shared" si="233"/>
        <v/>
      </c>
      <c r="AU236" s="15" t="str">
        <f t="shared" si="233"/>
        <v/>
      </c>
      <c r="AV236" s="15" t="str">
        <f t="shared" si="233"/>
        <v/>
      </c>
      <c r="AW236" s="15" t="str">
        <f t="shared" si="233"/>
        <v/>
      </c>
      <c r="AX236" s="15" t="str">
        <f t="shared" si="233"/>
        <v/>
      </c>
      <c r="AY236" s="15" t="str">
        <f t="shared" si="233"/>
        <v/>
      </c>
    </row>
    <row r="237" ht="18.0" customHeight="1">
      <c r="A237" s="13" t="str">
        <f t="shared" si="1"/>
        <v/>
      </c>
      <c r="B237" s="13" t="str">
        <f t="shared" si="2"/>
        <v/>
      </c>
      <c r="C237" s="12" t="str">
        <f t="shared" si="3"/>
        <v/>
      </c>
      <c r="D237" s="12" t="str">
        <f t="shared" si="4"/>
        <v/>
      </c>
      <c r="E237" s="12" t="str">
        <f t="shared" si="5"/>
        <v/>
      </c>
      <c r="F237" s="12" t="str">
        <f t="shared" si="6"/>
        <v/>
      </c>
      <c r="G237" s="12" t="str">
        <f t="shared" si="7"/>
        <v/>
      </c>
      <c r="H237" s="12" t="str">
        <f t="shared" si="8"/>
        <v/>
      </c>
      <c r="I237" s="12" t="str">
        <f t="shared" si="9"/>
        <v/>
      </c>
      <c r="J237" s="12" t="str">
        <f t="shared" si="10"/>
        <v/>
      </c>
      <c r="L237" s="15" t="str">
        <f t="shared" ref="L237:AY237" si="234">IF(L$13="","",IF(AND(L$13&gt;$H236,L$13&lt;=$I236),IF(AND(MOD($B$6,2)=1,L$13=ROUNDUP($J236,0)),"0",IF(L$13=INT($H236)+1,ROUNDDOWN(ABS(L$13-$J236),0),IF(L$13=INT($I236),ROUNDUP(ABS(L$13-$J236),0),""))),""))</f>
        <v/>
      </c>
      <c r="M237" s="15" t="str">
        <f t="shared" si="234"/>
        <v/>
      </c>
      <c r="N237" s="15" t="str">
        <f t="shared" si="234"/>
        <v/>
      </c>
      <c r="O237" s="15" t="str">
        <f t="shared" si="234"/>
        <v/>
      </c>
      <c r="P237" s="15" t="str">
        <f t="shared" si="234"/>
        <v/>
      </c>
      <c r="Q237" s="15" t="str">
        <f t="shared" si="234"/>
        <v/>
      </c>
      <c r="R237" s="15" t="str">
        <f t="shared" si="234"/>
        <v/>
      </c>
      <c r="S237" s="15" t="str">
        <f t="shared" si="234"/>
        <v/>
      </c>
      <c r="T237" s="15" t="str">
        <f t="shared" si="234"/>
        <v/>
      </c>
      <c r="U237" s="15" t="str">
        <f t="shared" si="234"/>
        <v/>
      </c>
      <c r="V237" s="15" t="str">
        <f t="shared" si="234"/>
        <v/>
      </c>
      <c r="W237" s="15" t="str">
        <f t="shared" si="234"/>
        <v/>
      </c>
      <c r="X237" s="15" t="str">
        <f t="shared" si="234"/>
        <v/>
      </c>
      <c r="Y237" s="15" t="str">
        <f t="shared" si="234"/>
        <v/>
      </c>
      <c r="Z237" s="15" t="str">
        <f t="shared" si="234"/>
        <v/>
      </c>
      <c r="AA237" s="15" t="str">
        <f t="shared" si="234"/>
        <v/>
      </c>
      <c r="AB237" s="15" t="str">
        <f t="shared" si="234"/>
        <v/>
      </c>
      <c r="AC237" s="15" t="str">
        <f t="shared" si="234"/>
        <v/>
      </c>
      <c r="AD237" s="15" t="str">
        <f t="shared" si="234"/>
        <v/>
      </c>
      <c r="AE237" s="15" t="str">
        <f t="shared" si="234"/>
        <v/>
      </c>
      <c r="AF237" s="15" t="str">
        <f t="shared" si="234"/>
        <v/>
      </c>
      <c r="AG237" s="15" t="str">
        <f t="shared" si="234"/>
        <v/>
      </c>
      <c r="AH237" s="15" t="str">
        <f t="shared" si="234"/>
        <v/>
      </c>
      <c r="AI237" s="15" t="str">
        <f t="shared" si="234"/>
        <v/>
      </c>
      <c r="AJ237" s="15" t="str">
        <f t="shared" si="234"/>
        <v/>
      </c>
      <c r="AK237" s="15" t="str">
        <f t="shared" si="234"/>
        <v/>
      </c>
      <c r="AL237" s="15" t="str">
        <f t="shared" si="234"/>
        <v/>
      </c>
      <c r="AM237" s="15" t="str">
        <f t="shared" si="234"/>
        <v/>
      </c>
      <c r="AN237" s="15" t="str">
        <f t="shared" si="234"/>
        <v/>
      </c>
      <c r="AO237" s="15" t="str">
        <f t="shared" si="234"/>
        <v/>
      </c>
      <c r="AP237" s="15" t="str">
        <f t="shared" si="234"/>
        <v/>
      </c>
      <c r="AQ237" s="15" t="str">
        <f t="shared" si="234"/>
        <v/>
      </c>
      <c r="AR237" s="15" t="str">
        <f t="shared" si="234"/>
        <v/>
      </c>
      <c r="AS237" s="15" t="str">
        <f t="shared" si="234"/>
        <v/>
      </c>
      <c r="AT237" s="15" t="str">
        <f t="shared" si="234"/>
        <v/>
      </c>
      <c r="AU237" s="15" t="str">
        <f t="shared" si="234"/>
        <v/>
      </c>
      <c r="AV237" s="15" t="str">
        <f t="shared" si="234"/>
        <v/>
      </c>
      <c r="AW237" s="15" t="str">
        <f t="shared" si="234"/>
        <v/>
      </c>
      <c r="AX237" s="15" t="str">
        <f t="shared" si="234"/>
        <v/>
      </c>
      <c r="AY237" s="15" t="str">
        <f t="shared" si="234"/>
        <v/>
      </c>
    </row>
    <row r="238" ht="18.0" customHeight="1">
      <c r="A238" s="13" t="str">
        <f t="shared" si="1"/>
        <v/>
      </c>
      <c r="B238" s="13" t="str">
        <f t="shared" si="2"/>
        <v/>
      </c>
      <c r="C238" s="12" t="str">
        <f t="shared" si="3"/>
        <v/>
      </c>
      <c r="D238" s="12" t="str">
        <f t="shared" si="4"/>
        <v/>
      </c>
      <c r="E238" s="12" t="str">
        <f t="shared" si="5"/>
        <v/>
      </c>
      <c r="F238" s="12" t="str">
        <f t="shared" si="6"/>
        <v/>
      </c>
      <c r="G238" s="12" t="str">
        <f t="shared" si="7"/>
        <v/>
      </c>
      <c r="H238" s="12" t="str">
        <f t="shared" si="8"/>
        <v/>
      </c>
      <c r="I238" s="12" t="str">
        <f t="shared" si="9"/>
        <v/>
      </c>
      <c r="J238" s="12" t="str">
        <f t="shared" si="10"/>
        <v/>
      </c>
      <c r="L238" s="15" t="str">
        <f t="shared" ref="L238:AY238" si="235">IF(L$13="","",IF(AND(L$13&gt;$H237,L$13&lt;=$I237),IF(AND(MOD($B$6,2)=1,L$13=ROUNDUP($J237,0)),"0",IF(L$13=INT($H237)+1,ROUNDDOWN(ABS(L$13-$J237),0),IF(L$13=INT($I237),ROUNDUP(ABS(L$13-$J237),0),""))),""))</f>
        <v/>
      </c>
      <c r="M238" s="15" t="str">
        <f t="shared" si="235"/>
        <v/>
      </c>
      <c r="N238" s="15" t="str">
        <f t="shared" si="235"/>
        <v/>
      </c>
      <c r="O238" s="15" t="str">
        <f t="shared" si="235"/>
        <v/>
      </c>
      <c r="P238" s="15" t="str">
        <f t="shared" si="235"/>
        <v/>
      </c>
      <c r="Q238" s="15" t="str">
        <f t="shared" si="235"/>
        <v/>
      </c>
      <c r="R238" s="15" t="str">
        <f t="shared" si="235"/>
        <v/>
      </c>
      <c r="S238" s="15" t="str">
        <f t="shared" si="235"/>
        <v/>
      </c>
      <c r="T238" s="15" t="str">
        <f t="shared" si="235"/>
        <v/>
      </c>
      <c r="U238" s="15" t="str">
        <f t="shared" si="235"/>
        <v/>
      </c>
      <c r="V238" s="15" t="str">
        <f t="shared" si="235"/>
        <v/>
      </c>
      <c r="W238" s="15" t="str">
        <f t="shared" si="235"/>
        <v/>
      </c>
      <c r="X238" s="15" t="str">
        <f t="shared" si="235"/>
        <v/>
      </c>
      <c r="Y238" s="15" t="str">
        <f t="shared" si="235"/>
        <v/>
      </c>
      <c r="Z238" s="15" t="str">
        <f t="shared" si="235"/>
        <v/>
      </c>
      <c r="AA238" s="15" t="str">
        <f t="shared" si="235"/>
        <v/>
      </c>
      <c r="AB238" s="15" t="str">
        <f t="shared" si="235"/>
        <v/>
      </c>
      <c r="AC238" s="15" t="str">
        <f t="shared" si="235"/>
        <v/>
      </c>
      <c r="AD238" s="15" t="str">
        <f t="shared" si="235"/>
        <v/>
      </c>
      <c r="AE238" s="15" t="str">
        <f t="shared" si="235"/>
        <v/>
      </c>
      <c r="AF238" s="15" t="str">
        <f t="shared" si="235"/>
        <v/>
      </c>
      <c r="AG238" s="15" t="str">
        <f t="shared" si="235"/>
        <v/>
      </c>
      <c r="AH238" s="15" t="str">
        <f t="shared" si="235"/>
        <v/>
      </c>
      <c r="AI238" s="15" t="str">
        <f t="shared" si="235"/>
        <v/>
      </c>
      <c r="AJ238" s="15" t="str">
        <f t="shared" si="235"/>
        <v/>
      </c>
      <c r="AK238" s="15" t="str">
        <f t="shared" si="235"/>
        <v/>
      </c>
      <c r="AL238" s="15" t="str">
        <f t="shared" si="235"/>
        <v/>
      </c>
      <c r="AM238" s="15" t="str">
        <f t="shared" si="235"/>
        <v/>
      </c>
      <c r="AN238" s="15" t="str">
        <f t="shared" si="235"/>
        <v/>
      </c>
      <c r="AO238" s="15" t="str">
        <f t="shared" si="235"/>
        <v/>
      </c>
      <c r="AP238" s="15" t="str">
        <f t="shared" si="235"/>
        <v/>
      </c>
      <c r="AQ238" s="15" t="str">
        <f t="shared" si="235"/>
        <v/>
      </c>
      <c r="AR238" s="15" t="str">
        <f t="shared" si="235"/>
        <v/>
      </c>
      <c r="AS238" s="15" t="str">
        <f t="shared" si="235"/>
        <v/>
      </c>
      <c r="AT238" s="15" t="str">
        <f t="shared" si="235"/>
        <v/>
      </c>
      <c r="AU238" s="15" t="str">
        <f t="shared" si="235"/>
        <v/>
      </c>
      <c r="AV238" s="15" t="str">
        <f t="shared" si="235"/>
        <v/>
      </c>
      <c r="AW238" s="15" t="str">
        <f t="shared" si="235"/>
        <v/>
      </c>
      <c r="AX238" s="15" t="str">
        <f t="shared" si="235"/>
        <v/>
      </c>
      <c r="AY238" s="15" t="str">
        <f t="shared" si="235"/>
        <v/>
      </c>
    </row>
    <row r="239" ht="18.0" customHeight="1">
      <c r="A239" s="13" t="str">
        <f t="shared" si="1"/>
        <v/>
      </c>
      <c r="B239" s="13" t="str">
        <f t="shared" si="2"/>
        <v/>
      </c>
      <c r="C239" s="12" t="str">
        <f t="shared" si="3"/>
        <v/>
      </c>
      <c r="D239" s="12" t="str">
        <f t="shared" si="4"/>
        <v/>
      </c>
      <c r="E239" s="12" t="str">
        <f t="shared" si="5"/>
        <v/>
      </c>
      <c r="F239" s="12" t="str">
        <f t="shared" si="6"/>
        <v/>
      </c>
      <c r="G239" s="12" t="str">
        <f t="shared" si="7"/>
        <v/>
      </c>
      <c r="H239" s="12" t="str">
        <f t="shared" si="8"/>
        <v/>
      </c>
      <c r="I239" s="12" t="str">
        <f t="shared" si="9"/>
        <v/>
      </c>
      <c r="J239" s="12" t="str">
        <f t="shared" si="10"/>
        <v/>
      </c>
      <c r="L239" s="15" t="str">
        <f t="shared" ref="L239:AY239" si="236">IF(L$13="","",IF(AND(L$13&gt;$H238,L$13&lt;=$I238),IF(AND(MOD($B$6,2)=1,L$13=ROUNDUP($J238,0)),"0",IF(L$13=INT($H238)+1,ROUNDDOWN(ABS(L$13-$J238),0),IF(L$13=INT($I238),ROUNDUP(ABS(L$13-$J238),0),""))),""))</f>
        <v/>
      </c>
      <c r="M239" s="15" t="str">
        <f t="shared" si="236"/>
        <v/>
      </c>
      <c r="N239" s="15" t="str">
        <f t="shared" si="236"/>
        <v/>
      </c>
      <c r="O239" s="15" t="str">
        <f t="shared" si="236"/>
        <v/>
      </c>
      <c r="P239" s="15" t="str">
        <f t="shared" si="236"/>
        <v/>
      </c>
      <c r="Q239" s="15" t="str">
        <f t="shared" si="236"/>
        <v/>
      </c>
      <c r="R239" s="15" t="str">
        <f t="shared" si="236"/>
        <v/>
      </c>
      <c r="S239" s="15" t="str">
        <f t="shared" si="236"/>
        <v/>
      </c>
      <c r="T239" s="15" t="str">
        <f t="shared" si="236"/>
        <v/>
      </c>
      <c r="U239" s="15" t="str">
        <f t="shared" si="236"/>
        <v/>
      </c>
      <c r="V239" s="15" t="str">
        <f t="shared" si="236"/>
        <v/>
      </c>
      <c r="W239" s="15" t="str">
        <f t="shared" si="236"/>
        <v/>
      </c>
      <c r="X239" s="15" t="str">
        <f t="shared" si="236"/>
        <v/>
      </c>
      <c r="Y239" s="15" t="str">
        <f t="shared" si="236"/>
        <v/>
      </c>
      <c r="Z239" s="15" t="str">
        <f t="shared" si="236"/>
        <v/>
      </c>
      <c r="AA239" s="15" t="str">
        <f t="shared" si="236"/>
        <v/>
      </c>
      <c r="AB239" s="15" t="str">
        <f t="shared" si="236"/>
        <v/>
      </c>
      <c r="AC239" s="15" t="str">
        <f t="shared" si="236"/>
        <v/>
      </c>
      <c r="AD239" s="15" t="str">
        <f t="shared" si="236"/>
        <v/>
      </c>
      <c r="AE239" s="15" t="str">
        <f t="shared" si="236"/>
        <v/>
      </c>
      <c r="AF239" s="15" t="str">
        <f t="shared" si="236"/>
        <v/>
      </c>
      <c r="AG239" s="15" t="str">
        <f t="shared" si="236"/>
        <v/>
      </c>
      <c r="AH239" s="15" t="str">
        <f t="shared" si="236"/>
        <v/>
      </c>
      <c r="AI239" s="15" t="str">
        <f t="shared" si="236"/>
        <v/>
      </c>
      <c r="AJ239" s="15" t="str">
        <f t="shared" si="236"/>
        <v/>
      </c>
      <c r="AK239" s="15" t="str">
        <f t="shared" si="236"/>
        <v/>
      </c>
      <c r="AL239" s="15" t="str">
        <f t="shared" si="236"/>
        <v/>
      </c>
      <c r="AM239" s="15" t="str">
        <f t="shared" si="236"/>
        <v/>
      </c>
      <c r="AN239" s="15" t="str">
        <f t="shared" si="236"/>
        <v/>
      </c>
      <c r="AO239" s="15" t="str">
        <f t="shared" si="236"/>
        <v/>
      </c>
      <c r="AP239" s="15" t="str">
        <f t="shared" si="236"/>
        <v/>
      </c>
      <c r="AQ239" s="15" t="str">
        <f t="shared" si="236"/>
        <v/>
      </c>
      <c r="AR239" s="15" t="str">
        <f t="shared" si="236"/>
        <v/>
      </c>
      <c r="AS239" s="15" t="str">
        <f t="shared" si="236"/>
        <v/>
      </c>
      <c r="AT239" s="15" t="str">
        <f t="shared" si="236"/>
        <v/>
      </c>
      <c r="AU239" s="15" t="str">
        <f t="shared" si="236"/>
        <v/>
      </c>
      <c r="AV239" s="15" t="str">
        <f t="shared" si="236"/>
        <v/>
      </c>
      <c r="AW239" s="15" t="str">
        <f t="shared" si="236"/>
        <v/>
      </c>
      <c r="AX239" s="15" t="str">
        <f t="shared" si="236"/>
        <v/>
      </c>
      <c r="AY239" s="15" t="str">
        <f t="shared" si="236"/>
        <v/>
      </c>
    </row>
    <row r="240" ht="18.0" customHeight="1">
      <c r="A240" s="13" t="str">
        <f t="shared" si="1"/>
        <v/>
      </c>
      <c r="B240" s="13" t="str">
        <f t="shared" si="2"/>
        <v/>
      </c>
      <c r="C240" s="12" t="str">
        <f t="shared" si="3"/>
        <v/>
      </c>
      <c r="D240" s="12" t="str">
        <f t="shared" si="4"/>
        <v/>
      </c>
      <c r="E240" s="12" t="str">
        <f t="shared" si="5"/>
        <v/>
      </c>
      <c r="F240" s="12" t="str">
        <f t="shared" si="6"/>
        <v/>
      </c>
      <c r="G240" s="12" t="str">
        <f t="shared" si="7"/>
        <v/>
      </c>
      <c r="H240" s="12" t="str">
        <f t="shared" si="8"/>
        <v/>
      </c>
      <c r="I240" s="12" t="str">
        <f t="shared" si="9"/>
        <v/>
      </c>
      <c r="J240" s="12" t="str">
        <f t="shared" si="10"/>
        <v/>
      </c>
      <c r="L240" s="15" t="str">
        <f t="shared" ref="L240:AY240" si="237">IF(L$13="","",IF(AND(L$13&gt;$H239,L$13&lt;=$I239),IF(AND(MOD($B$6,2)=1,L$13=ROUNDUP($J239,0)),"0",IF(L$13=INT($H239)+1,ROUNDDOWN(ABS(L$13-$J239),0),IF(L$13=INT($I239),ROUNDUP(ABS(L$13-$J239),0),""))),""))</f>
        <v/>
      </c>
      <c r="M240" s="15" t="str">
        <f t="shared" si="237"/>
        <v/>
      </c>
      <c r="N240" s="15" t="str">
        <f t="shared" si="237"/>
        <v/>
      </c>
      <c r="O240" s="15" t="str">
        <f t="shared" si="237"/>
        <v/>
      </c>
      <c r="P240" s="15" t="str">
        <f t="shared" si="237"/>
        <v/>
      </c>
      <c r="Q240" s="15" t="str">
        <f t="shared" si="237"/>
        <v/>
      </c>
      <c r="R240" s="15" t="str">
        <f t="shared" si="237"/>
        <v/>
      </c>
      <c r="S240" s="15" t="str">
        <f t="shared" si="237"/>
        <v/>
      </c>
      <c r="T240" s="15" t="str">
        <f t="shared" si="237"/>
        <v/>
      </c>
      <c r="U240" s="15" t="str">
        <f t="shared" si="237"/>
        <v/>
      </c>
      <c r="V240" s="15" t="str">
        <f t="shared" si="237"/>
        <v/>
      </c>
      <c r="W240" s="15" t="str">
        <f t="shared" si="237"/>
        <v/>
      </c>
      <c r="X240" s="15" t="str">
        <f t="shared" si="237"/>
        <v/>
      </c>
      <c r="Y240" s="15" t="str">
        <f t="shared" si="237"/>
        <v/>
      </c>
      <c r="Z240" s="15" t="str">
        <f t="shared" si="237"/>
        <v/>
      </c>
      <c r="AA240" s="15" t="str">
        <f t="shared" si="237"/>
        <v/>
      </c>
      <c r="AB240" s="15" t="str">
        <f t="shared" si="237"/>
        <v/>
      </c>
      <c r="AC240" s="15" t="str">
        <f t="shared" si="237"/>
        <v/>
      </c>
      <c r="AD240" s="15" t="str">
        <f t="shared" si="237"/>
        <v/>
      </c>
      <c r="AE240" s="15" t="str">
        <f t="shared" si="237"/>
        <v/>
      </c>
      <c r="AF240" s="15" t="str">
        <f t="shared" si="237"/>
        <v/>
      </c>
      <c r="AG240" s="15" t="str">
        <f t="shared" si="237"/>
        <v/>
      </c>
      <c r="AH240" s="15" t="str">
        <f t="shared" si="237"/>
        <v/>
      </c>
      <c r="AI240" s="15" t="str">
        <f t="shared" si="237"/>
        <v/>
      </c>
      <c r="AJ240" s="15" t="str">
        <f t="shared" si="237"/>
        <v/>
      </c>
      <c r="AK240" s="15" t="str">
        <f t="shared" si="237"/>
        <v/>
      </c>
      <c r="AL240" s="15" t="str">
        <f t="shared" si="237"/>
        <v/>
      </c>
      <c r="AM240" s="15" t="str">
        <f t="shared" si="237"/>
        <v/>
      </c>
      <c r="AN240" s="15" t="str">
        <f t="shared" si="237"/>
        <v/>
      </c>
      <c r="AO240" s="15" t="str">
        <f t="shared" si="237"/>
        <v/>
      </c>
      <c r="AP240" s="15" t="str">
        <f t="shared" si="237"/>
        <v/>
      </c>
      <c r="AQ240" s="15" t="str">
        <f t="shared" si="237"/>
        <v/>
      </c>
      <c r="AR240" s="15" t="str">
        <f t="shared" si="237"/>
        <v/>
      </c>
      <c r="AS240" s="15" t="str">
        <f t="shared" si="237"/>
        <v/>
      </c>
      <c r="AT240" s="15" t="str">
        <f t="shared" si="237"/>
        <v/>
      </c>
      <c r="AU240" s="15" t="str">
        <f t="shared" si="237"/>
        <v/>
      </c>
      <c r="AV240" s="15" t="str">
        <f t="shared" si="237"/>
        <v/>
      </c>
      <c r="AW240" s="15" t="str">
        <f t="shared" si="237"/>
        <v/>
      </c>
      <c r="AX240" s="15" t="str">
        <f t="shared" si="237"/>
        <v/>
      </c>
      <c r="AY240" s="15" t="str">
        <f t="shared" si="237"/>
        <v/>
      </c>
    </row>
    <row r="241" ht="18.0" customHeight="1">
      <c r="A241" s="13" t="str">
        <f t="shared" si="1"/>
        <v/>
      </c>
      <c r="B241" s="13" t="str">
        <f t="shared" si="2"/>
        <v/>
      </c>
      <c r="C241" s="12" t="str">
        <f t="shared" si="3"/>
        <v/>
      </c>
      <c r="D241" s="12" t="str">
        <f t="shared" si="4"/>
        <v/>
      </c>
      <c r="E241" s="12" t="str">
        <f t="shared" si="5"/>
        <v/>
      </c>
      <c r="F241" s="12" t="str">
        <f t="shared" si="6"/>
        <v/>
      </c>
      <c r="G241" s="12" t="str">
        <f t="shared" si="7"/>
        <v/>
      </c>
      <c r="H241" s="12" t="str">
        <f t="shared" si="8"/>
        <v/>
      </c>
      <c r="I241" s="12" t="str">
        <f t="shared" si="9"/>
        <v/>
      </c>
      <c r="J241" s="12" t="str">
        <f t="shared" si="10"/>
        <v/>
      </c>
      <c r="L241" s="15" t="str">
        <f t="shared" ref="L241:AY241" si="238">IF(L$13="","",IF(AND(L$13&gt;$H240,L$13&lt;=$I240),IF(AND(MOD($B$6,2)=1,L$13=ROUNDUP($J240,0)),"0",IF(L$13=INT($H240)+1,ROUNDDOWN(ABS(L$13-$J240),0),IF(L$13=INT($I240),ROUNDUP(ABS(L$13-$J240),0),""))),""))</f>
        <v/>
      </c>
      <c r="M241" s="15" t="str">
        <f t="shared" si="238"/>
        <v/>
      </c>
      <c r="N241" s="15" t="str">
        <f t="shared" si="238"/>
        <v/>
      </c>
      <c r="O241" s="15" t="str">
        <f t="shared" si="238"/>
        <v/>
      </c>
      <c r="P241" s="15" t="str">
        <f t="shared" si="238"/>
        <v/>
      </c>
      <c r="Q241" s="15" t="str">
        <f t="shared" si="238"/>
        <v/>
      </c>
      <c r="R241" s="15" t="str">
        <f t="shared" si="238"/>
        <v/>
      </c>
      <c r="S241" s="15" t="str">
        <f t="shared" si="238"/>
        <v/>
      </c>
      <c r="T241" s="15" t="str">
        <f t="shared" si="238"/>
        <v/>
      </c>
      <c r="U241" s="15" t="str">
        <f t="shared" si="238"/>
        <v/>
      </c>
      <c r="V241" s="15" t="str">
        <f t="shared" si="238"/>
        <v/>
      </c>
      <c r="W241" s="15" t="str">
        <f t="shared" si="238"/>
        <v/>
      </c>
      <c r="X241" s="15" t="str">
        <f t="shared" si="238"/>
        <v/>
      </c>
      <c r="Y241" s="15" t="str">
        <f t="shared" si="238"/>
        <v/>
      </c>
      <c r="Z241" s="15" t="str">
        <f t="shared" si="238"/>
        <v/>
      </c>
      <c r="AA241" s="15" t="str">
        <f t="shared" si="238"/>
        <v/>
      </c>
      <c r="AB241" s="15" t="str">
        <f t="shared" si="238"/>
        <v/>
      </c>
      <c r="AC241" s="15" t="str">
        <f t="shared" si="238"/>
        <v/>
      </c>
      <c r="AD241" s="15" t="str">
        <f t="shared" si="238"/>
        <v/>
      </c>
      <c r="AE241" s="15" t="str">
        <f t="shared" si="238"/>
        <v/>
      </c>
      <c r="AF241" s="15" t="str">
        <f t="shared" si="238"/>
        <v/>
      </c>
      <c r="AG241" s="15" t="str">
        <f t="shared" si="238"/>
        <v/>
      </c>
      <c r="AH241" s="15" t="str">
        <f t="shared" si="238"/>
        <v/>
      </c>
      <c r="AI241" s="15" t="str">
        <f t="shared" si="238"/>
        <v/>
      </c>
      <c r="AJ241" s="15" t="str">
        <f t="shared" si="238"/>
        <v/>
      </c>
      <c r="AK241" s="15" t="str">
        <f t="shared" si="238"/>
        <v/>
      </c>
      <c r="AL241" s="15" t="str">
        <f t="shared" si="238"/>
        <v/>
      </c>
      <c r="AM241" s="15" t="str">
        <f t="shared" si="238"/>
        <v/>
      </c>
      <c r="AN241" s="15" t="str">
        <f t="shared" si="238"/>
        <v/>
      </c>
      <c r="AO241" s="15" t="str">
        <f t="shared" si="238"/>
        <v/>
      </c>
      <c r="AP241" s="15" t="str">
        <f t="shared" si="238"/>
        <v/>
      </c>
      <c r="AQ241" s="15" t="str">
        <f t="shared" si="238"/>
        <v/>
      </c>
      <c r="AR241" s="15" t="str">
        <f t="shared" si="238"/>
        <v/>
      </c>
      <c r="AS241" s="15" t="str">
        <f t="shared" si="238"/>
        <v/>
      </c>
      <c r="AT241" s="15" t="str">
        <f t="shared" si="238"/>
        <v/>
      </c>
      <c r="AU241" s="15" t="str">
        <f t="shared" si="238"/>
        <v/>
      </c>
      <c r="AV241" s="15" t="str">
        <f t="shared" si="238"/>
        <v/>
      </c>
      <c r="AW241" s="15" t="str">
        <f t="shared" si="238"/>
        <v/>
      </c>
      <c r="AX241" s="15" t="str">
        <f t="shared" si="238"/>
        <v/>
      </c>
      <c r="AY241" s="15" t="str">
        <f t="shared" si="238"/>
        <v/>
      </c>
    </row>
    <row r="242" ht="18.0" customHeight="1">
      <c r="A242" s="13" t="str">
        <f t="shared" si="1"/>
        <v/>
      </c>
      <c r="B242" s="13" t="str">
        <f t="shared" si="2"/>
        <v/>
      </c>
      <c r="C242" s="12" t="str">
        <f t="shared" si="3"/>
        <v/>
      </c>
      <c r="D242" s="12" t="str">
        <f t="shared" si="4"/>
        <v/>
      </c>
      <c r="E242" s="12" t="str">
        <f t="shared" si="5"/>
        <v/>
      </c>
      <c r="F242" s="12" t="str">
        <f t="shared" si="6"/>
        <v/>
      </c>
      <c r="G242" s="12" t="str">
        <f t="shared" si="7"/>
        <v/>
      </c>
      <c r="H242" s="12" t="str">
        <f t="shared" si="8"/>
        <v/>
      </c>
      <c r="I242" s="12" t="str">
        <f t="shared" si="9"/>
        <v/>
      </c>
      <c r="J242" s="12" t="str">
        <f t="shared" si="10"/>
        <v/>
      </c>
      <c r="L242" s="15" t="str">
        <f t="shared" ref="L242:AY242" si="239">IF(L$13="","",IF(AND(L$13&gt;$H241,L$13&lt;=$I241),IF(AND(MOD($B$6,2)=1,L$13=ROUNDUP($J241,0)),"0",IF(L$13=INT($H241)+1,ROUNDDOWN(ABS(L$13-$J241),0),IF(L$13=INT($I241),ROUNDUP(ABS(L$13-$J241),0),""))),""))</f>
        <v/>
      </c>
      <c r="M242" s="15" t="str">
        <f t="shared" si="239"/>
        <v/>
      </c>
      <c r="N242" s="15" t="str">
        <f t="shared" si="239"/>
        <v/>
      </c>
      <c r="O242" s="15" t="str">
        <f t="shared" si="239"/>
        <v/>
      </c>
      <c r="P242" s="15" t="str">
        <f t="shared" si="239"/>
        <v/>
      </c>
      <c r="Q242" s="15" t="str">
        <f t="shared" si="239"/>
        <v/>
      </c>
      <c r="R242" s="15" t="str">
        <f t="shared" si="239"/>
        <v/>
      </c>
      <c r="S242" s="15" t="str">
        <f t="shared" si="239"/>
        <v/>
      </c>
      <c r="T242" s="15" t="str">
        <f t="shared" si="239"/>
        <v/>
      </c>
      <c r="U242" s="15" t="str">
        <f t="shared" si="239"/>
        <v/>
      </c>
      <c r="V242" s="15" t="str">
        <f t="shared" si="239"/>
        <v/>
      </c>
      <c r="W242" s="15" t="str">
        <f t="shared" si="239"/>
        <v/>
      </c>
      <c r="X242" s="15" t="str">
        <f t="shared" si="239"/>
        <v/>
      </c>
      <c r="Y242" s="15" t="str">
        <f t="shared" si="239"/>
        <v/>
      </c>
      <c r="Z242" s="15" t="str">
        <f t="shared" si="239"/>
        <v/>
      </c>
      <c r="AA242" s="15" t="str">
        <f t="shared" si="239"/>
        <v/>
      </c>
      <c r="AB242" s="15" t="str">
        <f t="shared" si="239"/>
        <v/>
      </c>
      <c r="AC242" s="15" t="str">
        <f t="shared" si="239"/>
        <v/>
      </c>
      <c r="AD242" s="15" t="str">
        <f t="shared" si="239"/>
        <v/>
      </c>
      <c r="AE242" s="15" t="str">
        <f t="shared" si="239"/>
        <v/>
      </c>
      <c r="AF242" s="15" t="str">
        <f t="shared" si="239"/>
        <v/>
      </c>
      <c r="AG242" s="15" t="str">
        <f t="shared" si="239"/>
        <v/>
      </c>
      <c r="AH242" s="15" t="str">
        <f t="shared" si="239"/>
        <v/>
      </c>
      <c r="AI242" s="15" t="str">
        <f t="shared" si="239"/>
        <v/>
      </c>
      <c r="AJ242" s="15" t="str">
        <f t="shared" si="239"/>
        <v/>
      </c>
      <c r="AK242" s="15" t="str">
        <f t="shared" si="239"/>
        <v/>
      </c>
      <c r="AL242" s="15" t="str">
        <f t="shared" si="239"/>
        <v/>
      </c>
      <c r="AM242" s="15" t="str">
        <f t="shared" si="239"/>
        <v/>
      </c>
      <c r="AN242" s="15" t="str">
        <f t="shared" si="239"/>
        <v/>
      </c>
      <c r="AO242" s="15" t="str">
        <f t="shared" si="239"/>
        <v/>
      </c>
      <c r="AP242" s="15" t="str">
        <f t="shared" si="239"/>
        <v/>
      </c>
      <c r="AQ242" s="15" t="str">
        <f t="shared" si="239"/>
        <v/>
      </c>
      <c r="AR242" s="15" t="str">
        <f t="shared" si="239"/>
        <v/>
      </c>
      <c r="AS242" s="15" t="str">
        <f t="shared" si="239"/>
        <v/>
      </c>
      <c r="AT242" s="15" t="str">
        <f t="shared" si="239"/>
        <v/>
      </c>
      <c r="AU242" s="15" t="str">
        <f t="shared" si="239"/>
        <v/>
      </c>
      <c r="AV242" s="15" t="str">
        <f t="shared" si="239"/>
        <v/>
      </c>
      <c r="AW242" s="15" t="str">
        <f t="shared" si="239"/>
        <v/>
      </c>
      <c r="AX242" s="15" t="str">
        <f t="shared" si="239"/>
        <v/>
      </c>
      <c r="AY242" s="15" t="str">
        <f t="shared" si="239"/>
        <v/>
      </c>
    </row>
    <row r="243" ht="18.0" customHeight="1">
      <c r="A243" s="13" t="str">
        <f t="shared" si="1"/>
        <v/>
      </c>
      <c r="B243" s="13" t="str">
        <f t="shared" si="2"/>
        <v/>
      </c>
      <c r="C243" s="12" t="str">
        <f t="shared" si="3"/>
        <v/>
      </c>
      <c r="D243" s="12" t="str">
        <f t="shared" si="4"/>
        <v/>
      </c>
      <c r="E243" s="12" t="str">
        <f t="shared" si="5"/>
        <v/>
      </c>
      <c r="F243" s="12" t="str">
        <f t="shared" si="6"/>
        <v/>
      </c>
      <c r="G243" s="12" t="str">
        <f t="shared" si="7"/>
        <v/>
      </c>
      <c r="H243" s="12" t="str">
        <f t="shared" si="8"/>
        <v/>
      </c>
      <c r="I243" s="12" t="str">
        <f t="shared" si="9"/>
        <v/>
      </c>
      <c r="J243" s="12" t="str">
        <f t="shared" si="10"/>
        <v/>
      </c>
      <c r="L243" s="15" t="str">
        <f t="shared" ref="L243:AY243" si="240">IF(L$13="","",IF(AND(L$13&gt;$H242,L$13&lt;=$I242),IF(AND(MOD($B$6,2)=1,L$13=ROUNDUP($J242,0)),"0",IF(L$13=INT($H242)+1,ROUNDDOWN(ABS(L$13-$J242),0),IF(L$13=INT($I242),ROUNDUP(ABS(L$13-$J242),0),""))),""))</f>
        <v/>
      </c>
      <c r="M243" s="15" t="str">
        <f t="shared" si="240"/>
        <v/>
      </c>
      <c r="N243" s="15" t="str">
        <f t="shared" si="240"/>
        <v/>
      </c>
      <c r="O243" s="15" t="str">
        <f t="shared" si="240"/>
        <v/>
      </c>
      <c r="P243" s="15" t="str">
        <f t="shared" si="240"/>
        <v/>
      </c>
      <c r="Q243" s="15" t="str">
        <f t="shared" si="240"/>
        <v/>
      </c>
      <c r="R243" s="15" t="str">
        <f t="shared" si="240"/>
        <v/>
      </c>
      <c r="S243" s="15" t="str">
        <f t="shared" si="240"/>
        <v/>
      </c>
      <c r="T243" s="15" t="str">
        <f t="shared" si="240"/>
        <v/>
      </c>
      <c r="U243" s="15" t="str">
        <f t="shared" si="240"/>
        <v/>
      </c>
      <c r="V243" s="15" t="str">
        <f t="shared" si="240"/>
        <v/>
      </c>
      <c r="W243" s="15" t="str">
        <f t="shared" si="240"/>
        <v/>
      </c>
      <c r="X243" s="15" t="str">
        <f t="shared" si="240"/>
        <v/>
      </c>
      <c r="Y243" s="15" t="str">
        <f t="shared" si="240"/>
        <v/>
      </c>
      <c r="Z243" s="15" t="str">
        <f t="shared" si="240"/>
        <v/>
      </c>
      <c r="AA243" s="15" t="str">
        <f t="shared" si="240"/>
        <v/>
      </c>
      <c r="AB243" s="15" t="str">
        <f t="shared" si="240"/>
        <v/>
      </c>
      <c r="AC243" s="15" t="str">
        <f t="shared" si="240"/>
        <v/>
      </c>
      <c r="AD243" s="15" t="str">
        <f t="shared" si="240"/>
        <v/>
      </c>
      <c r="AE243" s="15" t="str">
        <f t="shared" si="240"/>
        <v/>
      </c>
      <c r="AF243" s="15" t="str">
        <f t="shared" si="240"/>
        <v/>
      </c>
      <c r="AG243" s="15" t="str">
        <f t="shared" si="240"/>
        <v/>
      </c>
      <c r="AH243" s="15" t="str">
        <f t="shared" si="240"/>
        <v/>
      </c>
      <c r="AI243" s="15" t="str">
        <f t="shared" si="240"/>
        <v/>
      </c>
      <c r="AJ243" s="15" t="str">
        <f t="shared" si="240"/>
        <v/>
      </c>
      <c r="AK243" s="15" t="str">
        <f t="shared" si="240"/>
        <v/>
      </c>
      <c r="AL243" s="15" t="str">
        <f t="shared" si="240"/>
        <v/>
      </c>
      <c r="AM243" s="15" t="str">
        <f t="shared" si="240"/>
        <v/>
      </c>
      <c r="AN243" s="15" t="str">
        <f t="shared" si="240"/>
        <v/>
      </c>
      <c r="AO243" s="15" t="str">
        <f t="shared" si="240"/>
        <v/>
      </c>
      <c r="AP243" s="15" t="str">
        <f t="shared" si="240"/>
        <v/>
      </c>
      <c r="AQ243" s="15" t="str">
        <f t="shared" si="240"/>
        <v/>
      </c>
      <c r="AR243" s="15" t="str">
        <f t="shared" si="240"/>
        <v/>
      </c>
      <c r="AS243" s="15" t="str">
        <f t="shared" si="240"/>
        <v/>
      </c>
      <c r="AT243" s="15" t="str">
        <f t="shared" si="240"/>
        <v/>
      </c>
      <c r="AU243" s="15" t="str">
        <f t="shared" si="240"/>
        <v/>
      </c>
      <c r="AV243" s="15" t="str">
        <f t="shared" si="240"/>
        <v/>
      </c>
      <c r="AW243" s="15" t="str">
        <f t="shared" si="240"/>
        <v/>
      </c>
      <c r="AX243" s="15" t="str">
        <f t="shared" si="240"/>
        <v/>
      </c>
      <c r="AY243" s="15" t="str">
        <f t="shared" si="240"/>
        <v/>
      </c>
    </row>
    <row r="244" ht="18.0" customHeight="1">
      <c r="A244" s="13" t="str">
        <f t="shared" si="1"/>
        <v/>
      </c>
      <c r="B244" s="13" t="str">
        <f t="shared" si="2"/>
        <v/>
      </c>
      <c r="C244" s="12" t="str">
        <f t="shared" si="3"/>
        <v/>
      </c>
      <c r="D244" s="12" t="str">
        <f t="shared" si="4"/>
        <v/>
      </c>
      <c r="E244" s="12" t="str">
        <f t="shared" si="5"/>
        <v/>
      </c>
      <c r="F244" s="12" t="str">
        <f t="shared" si="6"/>
        <v/>
      </c>
      <c r="G244" s="12" t="str">
        <f t="shared" si="7"/>
        <v/>
      </c>
      <c r="H244" s="12" t="str">
        <f t="shared" si="8"/>
        <v/>
      </c>
      <c r="I244" s="12" t="str">
        <f t="shared" si="9"/>
        <v/>
      </c>
      <c r="J244" s="12" t="str">
        <f t="shared" si="10"/>
        <v/>
      </c>
      <c r="L244" s="15" t="str">
        <f t="shared" ref="L244:AY244" si="241">IF(L$13="","",IF(AND(L$13&gt;$H243,L$13&lt;=$I243),IF(AND(MOD($B$6,2)=1,L$13=ROUNDUP($J243,0)),"0",IF(L$13=INT($H243)+1,ROUNDDOWN(ABS(L$13-$J243),0),IF(L$13=INT($I243),ROUNDUP(ABS(L$13-$J243),0),""))),""))</f>
        <v/>
      </c>
      <c r="M244" s="15" t="str">
        <f t="shared" si="241"/>
        <v/>
      </c>
      <c r="N244" s="15" t="str">
        <f t="shared" si="241"/>
        <v/>
      </c>
      <c r="O244" s="15" t="str">
        <f t="shared" si="241"/>
        <v/>
      </c>
      <c r="P244" s="15" t="str">
        <f t="shared" si="241"/>
        <v/>
      </c>
      <c r="Q244" s="15" t="str">
        <f t="shared" si="241"/>
        <v/>
      </c>
      <c r="R244" s="15" t="str">
        <f t="shared" si="241"/>
        <v/>
      </c>
      <c r="S244" s="15" t="str">
        <f t="shared" si="241"/>
        <v/>
      </c>
      <c r="T244" s="15" t="str">
        <f t="shared" si="241"/>
        <v/>
      </c>
      <c r="U244" s="15" t="str">
        <f t="shared" si="241"/>
        <v/>
      </c>
      <c r="V244" s="15" t="str">
        <f t="shared" si="241"/>
        <v/>
      </c>
      <c r="W244" s="15" t="str">
        <f t="shared" si="241"/>
        <v/>
      </c>
      <c r="X244" s="15" t="str">
        <f t="shared" si="241"/>
        <v/>
      </c>
      <c r="Y244" s="15" t="str">
        <f t="shared" si="241"/>
        <v/>
      </c>
      <c r="Z244" s="15" t="str">
        <f t="shared" si="241"/>
        <v/>
      </c>
      <c r="AA244" s="15" t="str">
        <f t="shared" si="241"/>
        <v/>
      </c>
      <c r="AB244" s="15" t="str">
        <f t="shared" si="241"/>
        <v/>
      </c>
      <c r="AC244" s="15" t="str">
        <f t="shared" si="241"/>
        <v/>
      </c>
      <c r="AD244" s="15" t="str">
        <f t="shared" si="241"/>
        <v/>
      </c>
      <c r="AE244" s="15" t="str">
        <f t="shared" si="241"/>
        <v/>
      </c>
      <c r="AF244" s="15" t="str">
        <f t="shared" si="241"/>
        <v/>
      </c>
      <c r="AG244" s="15" t="str">
        <f t="shared" si="241"/>
        <v/>
      </c>
      <c r="AH244" s="15" t="str">
        <f t="shared" si="241"/>
        <v/>
      </c>
      <c r="AI244" s="15" t="str">
        <f t="shared" si="241"/>
        <v/>
      </c>
      <c r="AJ244" s="15" t="str">
        <f t="shared" si="241"/>
        <v/>
      </c>
      <c r="AK244" s="15" t="str">
        <f t="shared" si="241"/>
        <v/>
      </c>
      <c r="AL244" s="15" t="str">
        <f t="shared" si="241"/>
        <v/>
      </c>
      <c r="AM244" s="15" t="str">
        <f t="shared" si="241"/>
        <v/>
      </c>
      <c r="AN244" s="15" t="str">
        <f t="shared" si="241"/>
        <v/>
      </c>
      <c r="AO244" s="15" t="str">
        <f t="shared" si="241"/>
        <v/>
      </c>
      <c r="AP244" s="15" t="str">
        <f t="shared" si="241"/>
        <v/>
      </c>
      <c r="AQ244" s="15" t="str">
        <f t="shared" si="241"/>
        <v/>
      </c>
      <c r="AR244" s="15" t="str">
        <f t="shared" si="241"/>
        <v/>
      </c>
      <c r="AS244" s="15" t="str">
        <f t="shared" si="241"/>
        <v/>
      </c>
      <c r="AT244" s="15" t="str">
        <f t="shared" si="241"/>
        <v/>
      </c>
      <c r="AU244" s="15" t="str">
        <f t="shared" si="241"/>
        <v/>
      </c>
      <c r="AV244" s="15" t="str">
        <f t="shared" si="241"/>
        <v/>
      </c>
      <c r="AW244" s="15" t="str">
        <f t="shared" si="241"/>
        <v/>
      </c>
      <c r="AX244" s="15" t="str">
        <f t="shared" si="241"/>
        <v/>
      </c>
      <c r="AY244" s="15" t="str">
        <f t="shared" si="241"/>
        <v/>
      </c>
    </row>
    <row r="245" ht="18.0" customHeight="1">
      <c r="A245" s="13" t="str">
        <f t="shared" si="1"/>
        <v/>
      </c>
      <c r="B245" s="13" t="str">
        <f t="shared" si="2"/>
        <v/>
      </c>
      <c r="C245" s="12" t="str">
        <f t="shared" si="3"/>
        <v/>
      </c>
      <c r="D245" s="12" t="str">
        <f t="shared" si="4"/>
        <v/>
      </c>
      <c r="E245" s="12" t="str">
        <f t="shared" si="5"/>
        <v/>
      </c>
      <c r="F245" s="12" t="str">
        <f t="shared" si="6"/>
        <v/>
      </c>
      <c r="G245" s="12" t="str">
        <f t="shared" si="7"/>
        <v/>
      </c>
      <c r="H245" s="12" t="str">
        <f t="shared" si="8"/>
        <v/>
      </c>
      <c r="I245" s="12" t="str">
        <f t="shared" si="9"/>
        <v/>
      </c>
      <c r="J245" s="12" t="str">
        <f t="shared" si="10"/>
        <v/>
      </c>
      <c r="L245" s="15" t="str">
        <f t="shared" ref="L245:AY245" si="242">IF(L$13="","",IF(AND(L$13&gt;$H244,L$13&lt;=$I244),IF(AND(MOD($B$6,2)=1,L$13=ROUNDUP($J244,0)),"0",IF(L$13=INT($H244)+1,ROUNDDOWN(ABS(L$13-$J244),0),IF(L$13=INT($I244),ROUNDUP(ABS(L$13-$J244),0),""))),""))</f>
        <v/>
      </c>
      <c r="M245" s="15" t="str">
        <f t="shared" si="242"/>
        <v/>
      </c>
      <c r="N245" s="15" t="str">
        <f t="shared" si="242"/>
        <v/>
      </c>
      <c r="O245" s="15" t="str">
        <f t="shared" si="242"/>
        <v/>
      </c>
      <c r="P245" s="15" t="str">
        <f t="shared" si="242"/>
        <v/>
      </c>
      <c r="Q245" s="15" t="str">
        <f t="shared" si="242"/>
        <v/>
      </c>
      <c r="R245" s="15" t="str">
        <f t="shared" si="242"/>
        <v/>
      </c>
      <c r="S245" s="15" t="str">
        <f t="shared" si="242"/>
        <v/>
      </c>
      <c r="T245" s="15" t="str">
        <f t="shared" si="242"/>
        <v/>
      </c>
      <c r="U245" s="15" t="str">
        <f t="shared" si="242"/>
        <v/>
      </c>
      <c r="V245" s="15" t="str">
        <f t="shared" si="242"/>
        <v/>
      </c>
      <c r="W245" s="15" t="str">
        <f t="shared" si="242"/>
        <v/>
      </c>
      <c r="X245" s="15" t="str">
        <f t="shared" si="242"/>
        <v/>
      </c>
      <c r="Y245" s="15" t="str">
        <f t="shared" si="242"/>
        <v/>
      </c>
      <c r="Z245" s="15" t="str">
        <f t="shared" si="242"/>
        <v/>
      </c>
      <c r="AA245" s="15" t="str">
        <f t="shared" si="242"/>
        <v/>
      </c>
      <c r="AB245" s="15" t="str">
        <f t="shared" si="242"/>
        <v/>
      </c>
      <c r="AC245" s="15" t="str">
        <f t="shared" si="242"/>
        <v/>
      </c>
      <c r="AD245" s="15" t="str">
        <f t="shared" si="242"/>
        <v/>
      </c>
      <c r="AE245" s="15" t="str">
        <f t="shared" si="242"/>
        <v/>
      </c>
      <c r="AF245" s="15" t="str">
        <f t="shared" si="242"/>
        <v/>
      </c>
      <c r="AG245" s="15" t="str">
        <f t="shared" si="242"/>
        <v/>
      </c>
      <c r="AH245" s="15" t="str">
        <f t="shared" si="242"/>
        <v/>
      </c>
      <c r="AI245" s="15" t="str">
        <f t="shared" si="242"/>
        <v/>
      </c>
      <c r="AJ245" s="15" t="str">
        <f t="shared" si="242"/>
        <v/>
      </c>
      <c r="AK245" s="15" t="str">
        <f t="shared" si="242"/>
        <v/>
      </c>
      <c r="AL245" s="15" t="str">
        <f t="shared" si="242"/>
        <v/>
      </c>
      <c r="AM245" s="15" t="str">
        <f t="shared" si="242"/>
        <v/>
      </c>
      <c r="AN245" s="15" t="str">
        <f t="shared" si="242"/>
        <v/>
      </c>
      <c r="AO245" s="15" t="str">
        <f t="shared" si="242"/>
        <v/>
      </c>
      <c r="AP245" s="15" t="str">
        <f t="shared" si="242"/>
        <v/>
      </c>
      <c r="AQ245" s="15" t="str">
        <f t="shared" si="242"/>
        <v/>
      </c>
      <c r="AR245" s="15" t="str">
        <f t="shared" si="242"/>
        <v/>
      </c>
      <c r="AS245" s="15" t="str">
        <f t="shared" si="242"/>
        <v/>
      </c>
      <c r="AT245" s="15" t="str">
        <f t="shared" si="242"/>
        <v/>
      </c>
      <c r="AU245" s="15" t="str">
        <f t="shared" si="242"/>
        <v/>
      </c>
      <c r="AV245" s="15" t="str">
        <f t="shared" si="242"/>
        <v/>
      </c>
      <c r="AW245" s="15" t="str">
        <f t="shared" si="242"/>
        <v/>
      </c>
      <c r="AX245" s="15" t="str">
        <f t="shared" si="242"/>
        <v/>
      </c>
      <c r="AY245" s="15" t="str">
        <f t="shared" si="242"/>
        <v/>
      </c>
    </row>
    <row r="246" ht="18.0" customHeight="1">
      <c r="A246" s="13" t="str">
        <f t="shared" si="1"/>
        <v/>
      </c>
      <c r="B246" s="13" t="str">
        <f t="shared" si="2"/>
        <v/>
      </c>
      <c r="C246" s="12" t="str">
        <f t="shared" si="3"/>
        <v/>
      </c>
      <c r="D246" s="12" t="str">
        <f t="shared" si="4"/>
        <v/>
      </c>
      <c r="E246" s="12" t="str">
        <f t="shared" si="5"/>
        <v/>
      </c>
      <c r="F246" s="12" t="str">
        <f t="shared" si="6"/>
        <v/>
      </c>
      <c r="G246" s="12" t="str">
        <f t="shared" si="7"/>
        <v/>
      </c>
      <c r="H246" s="12" t="str">
        <f t="shared" si="8"/>
        <v/>
      </c>
      <c r="I246" s="12" t="str">
        <f t="shared" si="9"/>
        <v/>
      </c>
      <c r="J246" s="12" t="str">
        <f t="shared" si="10"/>
        <v/>
      </c>
      <c r="L246" s="15" t="str">
        <f t="shared" ref="L246:AY246" si="243">IF(L$13="","",IF(AND(L$13&gt;$H245,L$13&lt;=$I245),IF(AND(MOD($B$6,2)=1,L$13=ROUNDUP($J245,0)),"0",IF(L$13=INT($H245)+1,ROUNDDOWN(ABS(L$13-$J245),0),IF(L$13=INT($I245),ROUNDUP(ABS(L$13-$J245),0),""))),""))</f>
        <v/>
      </c>
      <c r="M246" s="15" t="str">
        <f t="shared" si="243"/>
        <v/>
      </c>
      <c r="N246" s="15" t="str">
        <f t="shared" si="243"/>
        <v/>
      </c>
      <c r="O246" s="15" t="str">
        <f t="shared" si="243"/>
        <v/>
      </c>
      <c r="P246" s="15" t="str">
        <f t="shared" si="243"/>
        <v/>
      </c>
      <c r="Q246" s="15" t="str">
        <f t="shared" si="243"/>
        <v/>
      </c>
      <c r="R246" s="15" t="str">
        <f t="shared" si="243"/>
        <v/>
      </c>
      <c r="S246" s="15" t="str">
        <f t="shared" si="243"/>
        <v/>
      </c>
      <c r="T246" s="15" t="str">
        <f t="shared" si="243"/>
        <v/>
      </c>
      <c r="U246" s="15" t="str">
        <f t="shared" si="243"/>
        <v/>
      </c>
      <c r="V246" s="15" t="str">
        <f t="shared" si="243"/>
        <v/>
      </c>
      <c r="W246" s="15" t="str">
        <f t="shared" si="243"/>
        <v/>
      </c>
      <c r="X246" s="15" t="str">
        <f t="shared" si="243"/>
        <v/>
      </c>
      <c r="Y246" s="15" t="str">
        <f t="shared" si="243"/>
        <v/>
      </c>
      <c r="Z246" s="15" t="str">
        <f t="shared" si="243"/>
        <v/>
      </c>
      <c r="AA246" s="15" t="str">
        <f t="shared" si="243"/>
        <v/>
      </c>
      <c r="AB246" s="15" t="str">
        <f t="shared" si="243"/>
        <v/>
      </c>
      <c r="AC246" s="15" t="str">
        <f t="shared" si="243"/>
        <v/>
      </c>
      <c r="AD246" s="15" t="str">
        <f t="shared" si="243"/>
        <v/>
      </c>
      <c r="AE246" s="15" t="str">
        <f t="shared" si="243"/>
        <v/>
      </c>
      <c r="AF246" s="15" t="str">
        <f t="shared" si="243"/>
        <v/>
      </c>
      <c r="AG246" s="15" t="str">
        <f t="shared" si="243"/>
        <v/>
      </c>
      <c r="AH246" s="15" t="str">
        <f t="shared" si="243"/>
        <v/>
      </c>
      <c r="AI246" s="15" t="str">
        <f t="shared" si="243"/>
        <v/>
      </c>
      <c r="AJ246" s="15" t="str">
        <f t="shared" si="243"/>
        <v/>
      </c>
      <c r="AK246" s="15" t="str">
        <f t="shared" si="243"/>
        <v/>
      </c>
      <c r="AL246" s="15" t="str">
        <f t="shared" si="243"/>
        <v/>
      </c>
      <c r="AM246" s="15" t="str">
        <f t="shared" si="243"/>
        <v/>
      </c>
      <c r="AN246" s="15" t="str">
        <f t="shared" si="243"/>
        <v/>
      </c>
      <c r="AO246" s="15" t="str">
        <f t="shared" si="243"/>
        <v/>
      </c>
      <c r="AP246" s="15" t="str">
        <f t="shared" si="243"/>
        <v/>
      </c>
      <c r="AQ246" s="15" t="str">
        <f t="shared" si="243"/>
        <v/>
      </c>
      <c r="AR246" s="15" t="str">
        <f t="shared" si="243"/>
        <v/>
      </c>
      <c r="AS246" s="15" t="str">
        <f t="shared" si="243"/>
        <v/>
      </c>
      <c r="AT246" s="15" t="str">
        <f t="shared" si="243"/>
        <v/>
      </c>
      <c r="AU246" s="15" t="str">
        <f t="shared" si="243"/>
        <v/>
      </c>
      <c r="AV246" s="15" t="str">
        <f t="shared" si="243"/>
        <v/>
      </c>
      <c r="AW246" s="15" t="str">
        <f t="shared" si="243"/>
        <v/>
      </c>
      <c r="AX246" s="15" t="str">
        <f t="shared" si="243"/>
        <v/>
      </c>
      <c r="AY246" s="15" t="str">
        <f t="shared" si="243"/>
        <v/>
      </c>
    </row>
    <row r="247" ht="18.0" customHeight="1">
      <c r="A247" s="13" t="str">
        <f t="shared" si="1"/>
        <v/>
      </c>
      <c r="B247" s="13" t="str">
        <f t="shared" si="2"/>
        <v/>
      </c>
      <c r="C247" s="12" t="str">
        <f t="shared" si="3"/>
        <v/>
      </c>
      <c r="D247" s="12" t="str">
        <f t="shared" si="4"/>
        <v/>
      </c>
      <c r="E247" s="12" t="str">
        <f t="shared" si="5"/>
        <v/>
      </c>
      <c r="F247" s="12" t="str">
        <f t="shared" si="6"/>
        <v/>
      </c>
      <c r="G247" s="12" t="str">
        <f t="shared" si="7"/>
        <v/>
      </c>
      <c r="H247" s="12" t="str">
        <f t="shared" si="8"/>
        <v/>
      </c>
      <c r="I247" s="12" t="str">
        <f t="shared" si="9"/>
        <v/>
      </c>
      <c r="J247" s="12" t="str">
        <f t="shared" si="10"/>
        <v/>
      </c>
      <c r="L247" s="15" t="str">
        <f t="shared" ref="L247:AY247" si="244">IF(L$13="","",IF(AND(L$13&gt;$H246,L$13&lt;=$I246),IF(AND(MOD($B$6,2)=1,L$13=ROUNDUP($J246,0)),"0",IF(L$13=INT($H246)+1,ROUNDDOWN(ABS(L$13-$J246),0),IF(L$13=INT($I246),ROUNDUP(ABS(L$13-$J246),0),""))),""))</f>
        <v/>
      </c>
      <c r="M247" s="15" t="str">
        <f t="shared" si="244"/>
        <v/>
      </c>
      <c r="N247" s="15" t="str">
        <f t="shared" si="244"/>
        <v/>
      </c>
      <c r="O247" s="15" t="str">
        <f t="shared" si="244"/>
        <v/>
      </c>
      <c r="P247" s="15" t="str">
        <f t="shared" si="244"/>
        <v/>
      </c>
      <c r="Q247" s="15" t="str">
        <f t="shared" si="244"/>
        <v/>
      </c>
      <c r="R247" s="15" t="str">
        <f t="shared" si="244"/>
        <v/>
      </c>
      <c r="S247" s="15" t="str">
        <f t="shared" si="244"/>
        <v/>
      </c>
      <c r="T247" s="15" t="str">
        <f t="shared" si="244"/>
        <v/>
      </c>
      <c r="U247" s="15" t="str">
        <f t="shared" si="244"/>
        <v/>
      </c>
      <c r="V247" s="15" t="str">
        <f t="shared" si="244"/>
        <v/>
      </c>
      <c r="W247" s="15" t="str">
        <f t="shared" si="244"/>
        <v/>
      </c>
      <c r="X247" s="15" t="str">
        <f t="shared" si="244"/>
        <v/>
      </c>
      <c r="Y247" s="15" t="str">
        <f t="shared" si="244"/>
        <v/>
      </c>
      <c r="Z247" s="15" t="str">
        <f t="shared" si="244"/>
        <v/>
      </c>
      <c r="AA247" s="15" t="str">
        <f t="shared" si="244"/>
        <v/>
      </c>
      <c r="AB247" s="15" t="str">
        <f t="shared" si="244"/>
        <v/>
      </c>
      <c r="AC247" s="15" t="str">
        <f t="shared" si="244"/>
        <v/>
      </c>
      <c r="AD247" s="15" t="str">
        <f t="shared" si="244"/>
        <v/>
      </c>
      <c r="AE247" s="15" t="str">
        <f t="shared" si="244"/>
        <v/>
      </c>
      <c r="AF247" s="15" t="str">
        <f t="shared" si="244"/>
        <v/>
      </c>
      <c r="AG247" s="15" t="str">
        <f t="shared" si="244"/>
        <v/>
      </c>
      <c r="AH247" s="15" t="str">
        <f t="shared" si="244"/>
        <v/>
      </c>
      <c r="AI247" s="15" t="str">
        <f t="shared" si="244"/>
        <v/>
      </c>
      <c r="AJ247" s="15" t="str">
        <f t="shared" si="244"/>
        <v/>
      </c>
      <c r="AK247" s="15" t="str">
        <f t="shared" si="244"/>
        <v/>
      </c>
      <c r="AL247" s="15" t="str">
        <f t="shared" si="244"/>
        <v/>
      </c>
      <c r="AM247" s="15" t="str">
        <f t="shared" si="244"/>
        <v/>
      </c>
      <c r="AN247" s="15" t="str">
        <f t="shared" si="244"/>
        <v/>
      </c>
      <c r="AO247" s="15" t="str">
        <f t="shared" si="244"/>
        <v/>
      </c>
      <c r="AP247" s="15" t="str">
        <f t="shared" si="244"/>
        <v/>
      </c>
      <c r="AQ247" s="15" t="str">
        <f t="shared" si="244"/>
        <v/>
      </c>
      <c r="AR247" s="15" t="str">
        <f t="shared" si="244"/>
        <v/>
      </c>
      <c r="AS247" s="15" t="str">
        <f t="shared" si="244"/>
        <v/>
      </c>
      <c r="AT247" s="15" t="str">
        <f t="shared" si="244"/>
        <v/>
      </c>
      <c r="AU247" s="15" t="str">
        <f t="shared" si="244"/>
        <v/>
      </c>
      <c r="AV247" s="15" t="str">
        <f t="shared" si="244"/>
        <v/>
      </c>
      <c r="AW247" s="15" t="str">
        <f t="shared" si="244"/>
        <v/>
      </c>
      <c r="AX247" s="15" t="str">
        <f t="shared" si="244"/>
        <v/>
      </c>
      <c r="AY247" s="15" t="str">
        <f t="shared" si="244"/>
        <v/>
      </c>
    </row>
    <row r="248" ht="18.0" customHeight="1">
      <c r="A248" s="13" t="str">
        <f t="shared" si="1"/>
        <v/>
      </c>
      <c r="B248" s="13" t="str">
        <f t="shared" si="2"/>
        <v/>
      </c>
      <c r="C248" s="12" t="str">
        <f t="shared" si="3"/>
        <v/>
      </c>
      <c r="D248" s="12" t="str">
        <f t="shared" si="4"/>
        <v/>
      </c>
      <c r="E248" s="12" t="str">
        <f t="shared" si="5"/>
        <v/>
      </c>
      <c r="F248" s="12" t="str">
        <f t="shared" si="6"/>
        <v/>
      </c>
      <c r="G248" s="12" t="str">
        <f t="shared" si="7"/>
        <v/>
      </c>
      <c r="H248" s="12" t="str">
        <f t="shared" si="8"/>
        <v/>
      </c>
      <c r="I248" s="12" t="str">
        <f t="shared" si="9"/>
        <v/>
      </c>
      <c r="J248" s="12" t="str">
        <f t="shared" si="10"/>
        <v/>
      </c>
      <c r="L248" s="15" t="str">
        <f t="shared" ref="L248:AY248" si="245">IF(L$13="","",IF(AND(L$13&gt;$H247,L$13&lt;=$I247),IF(AND(MOD($B$6,2)=1,L$13=ROUNDUP($J247,0)),"0",IF(L$13=INT($H247)+1,ROUNDDOWN(ABS(L$13-$J247),0),IF(L$13=INT($I247),ROUNDUP(ABS(L$13-$J247),0),""))),""))</f>
        <v/>
      </c>
      <c r="M248" s="15" t="str">
        <f t="shared" si="245"/>
        <v/>
      </c>
      <c r="N248" s="15" t="str">
        <f t="shared" si="245"/>
        <v/>
      </c>
      <c r="O248" s="15" t="str">
        <f t="shared" si="245"/>
        <v/>
      </c>
      <c r="P248" s="15" t="str">
        <f t="shared" si="245"/>
        <v/>
      </c>
      <c r="Q248" s="15" t="str">
        <f t="shared" si="245"/>
        <v/>
      </c>
      <c r="R248" s="15" t="str">
        <f t="shared" si="245"/>
        <v/>
      </c>
      <c r="S248" s="15" t="str">
        <f t="shared" si="245"/>
        <v/>
      </c>
      <c r="T248" s="15" t="str">
        <f t="shared" si="245"/>
        <v/>
      </c>
      <c r="U248" s="15" t="str">
        <f t="shared" si="245"/>
        <v/>
      </c>
      <c r="V248" s="15" t="str">
        <f t="shared" si="245"/>
        <v/>
      </c>
      <c r="W248" s="15" t="str">
        <f t="shared" si="245"/>
        <v/>
      </c>
      <c r="X248" s="15" t="str">
        <f t="shared" si="245"/>
        <v/>
      </c>
      <c r="Y248" s="15" t="str">
        <f t="shared" si="245"/>
        <v/>
      </c>
      <c r="Z248" s="15" t="str">
        <f t="shared" si="245"/>
        <v/>
      </c>
      <c r="AA248" s="15" t="str">
        <f t="shared" si="245"/>
        <v/>
      </c>
      <c r="AB248" s="15" t="str">
        <f t="shared" si="245"/>
        <v/>
      </c>
      <c r="AC248" s="15" t="str">
        <f t="shared" si="245"/>
        <v/>
      </c>
      <c r="AD248" s="15" t="str">
        <f t="shared" si="245"/>
        <v/>
      </c>
      <c r="AE248" s="15" t="str">
        <f t="shared" si="245"/>
        <v/>
      </c>
      <c r="AF248" s="15" t="str">
        <f t="shared" si="245"/>
        <v/>
      </c>
      <c r="AG248" s="15" t="str">
        <f t="shared" si="245"/>
        <v/>
      </c>
      <c r="AH248" s="15" t="str">
        <f t="shared" si="245"/>
        <v/>
      </c>
      <c r="AI248" s="15" t="str">
        <f t="shared" si="245"/>
        <v/>
      </c>
      <c r="AJ248" s="15" t="str">
        <f t="shared" si="245"/>
        <v/>
      </c>
      <c r="AK248" s="15" t="str">
        <f t="shared" si="245"/>
        <v/>
      </c>
      <c r="AL248" s="15" t="str">
        <f t="shared" si="245"/>
        <v/>
      </c>
      <c r="AM248" s="15" t="str">
        <f t="shared" si="245"/>
        <v/>
      </c>
      <c r="AN248" s="15" t="str">
        <f t="shared" si="245"/>
        <v/>
      </c>
      <c r="AO248" s="15" t="str">
        <f t="shared" si="245"/>
        <v/>
      </c>
      <c r="AP248" s="15" t="str">
        <f t="shared" si="245"/>
        <v/>
      </c>
      <c r="AQ248" s="15" t="str">
        <f t="shared" si="245"/>
        <v/>
      </c>
      <c r="AR248" s="15" t="str">
        <f t="shared" si="245"/>
        <v/>
      </c>
      <c r="AS248" s="15" t="str">
        <f t="shared" si="245"/>
        <v/>
      </c>
      <c r="AT248" s="15" t="str">
        <f t="shared" si="245"/>
        <v/>
      </c>
      <c r="AU248" s="15" t="str">
        <f t="shared" si="245"/>
        <v/>
      </c>
      <c r="AV248" s="15" t="str">
        <f t="shared" si="245"/>
        <v/>
      </c>
      <c r="AW248" s="15" t="str">
        <f t="shared" si="245"/>
        <v/>
      </c>
      <c r="AX248" s="15" t="str">
        <f t="shared" si="245"/>
        <v/>
      </c>
      <c r="AY248" s="15" t="str">
        <f t="shared" si="245"/>
        <v/>
      </c>
    </row>
    <row r="249" ht="18.0" customHeight="1">
      <c r="A249" s="13" t="str">
        <f t="shared" si="1"/>
        <v/>
      </c>
      <c r="B249" s="13" t="str">
        <f t="shared" si="2"/>
        <v/>
      </c>
      <c r="C249" s="12" t="str">
        <f t="shared" si="3"/>
        <v/>
      </c>
      <c r="D249" s="12" t="str">
        <f t="shared" si="4"/>
        <v/>
      </c>
      <c r="E249" s="12" t="str">
        <f t="shared" si="5"/>
        <v/>
      </c>
      <c r="F249" s="12" t="str">
        <f t="shared" si="6"/>
        <v/>
      </c>
      <c r="G249" s="12" t="str">
        <f t="shared" si="7"/>
        <v/>
      </c>
      <c r="H249" s="12" t="str">
        <f t="shared" si="8"/>
        <v/>
      </c>
      <c r="I249" s="12" t="str">
        <f t="shared" si="9"/>
        <v/>
      </c>
      <c r="J249" s="12" t="str">
        <f t="shared" si="10"/>
        <v/>
      </c>
      <c r="L249" s="15" t="str">
        <f t="shared" ref="L249:AY249" si="246">IF(L$13="","",IF(AND(L$13&gt;$H248,L$13&lt;=$I248),IF(AND(MOD($B$6,2)=1,L$13=ROUNDUP($J248,0)),"0",IF(L$13=INT($H248)+1,ROUNDDOWN(ABS(L$13-$J248),0),IF(L$13=INT($I248),ROUNDUP(ABS(L$13-$J248),0),""))),""))</f>
        <v/>
      </c>
      <c r="M249" s="15" t="str">
        <f t="shared" si="246"/>
        <v/>
      </c>
      <c r="N249" s="15" t="str">
        <f t="shared" si="246"/>
        <v/>
      </c>
      <c r="O249" s="15" t="str">
        <f t="shared" si="246"/>
        <v/>
      </c>
      <c r="P249" s="15" t="str">
        <f t="shared" si="246"/>
        <v/>
      </c>
      <c r="Q249" s="15" t="str">
        <f t="shared" si="246"/>
        <v/>
      </c>
      <c r="R249" s="15" t="str">
        <f t="shared" si="246"/>
        <v/>
      </c>
      <c r="S249" s="15" t="str">
        <f t="shared" si="246"/>
        <v/>
      </c>
      <c r="T249" s="15" t="str">
        <f t="shared" si="246"/>
        <v/>
      </c>
      <c r="U249" s="15" t="str">
        <f t="shared" si="246"/>
        <v/>
      </c>
      <c r="V249" s="15" t="str">
        <f t="shared" si="246"/>
        <v/>
      </c>
      <c r="W249" s="15" t="str">
        <f t="shared" si="246"/>
        <v/>
      </c>
      <c r="X249" s="15" t="str">
        <f t="shared" si="246"/>
        <v/>
      </c>
      <c r="Y249" s="15" t="str">
        <f t="shared" si="246"/>
        <v/>
      </c>
      <c r="Z249" s="15" t="str">
        <f t="shared" si="246"/>
        <v/>
      </c>
      <c r="AA249" s="15" t="str">
        <f t="shared" si="246"/>
        <v/>
      </c>
      <c r="AB249" s="15" t="str">
        <f t="shared" si="246"/>
        <v/>
      </c>
      <c r="AC249" s="15" t="str">
        <f t="shared" si="246"/>
        <v/>
      </c>
      <c r="AD249" s="15" t="str">
        <f t="shared" si="246"/>
        <v/>
      </c>
      <c r="AE249" s="15" t="str">
        <f t="shared" si="246"/>
        <v/>
      </c>
      <c r="AF249" s="15" t="str">
        <f t="shared" si="246"/>
        <v/>
      </c>
      <c r="AG249" s="15" t="str">
        <f t="shared" si="246"/>
        <v/>
      </c>
      <c r="AH249" s="15" t="str">
        <f t="shared" si="246"/>
        <v/>
      </c>
      <c r="AI249" s="15" t="str">
        <f t="shared" si="246"/>
        <v/>
      </c>
      <c r="AJ249" s="15" t="str">
        <f t="shared" si="246"/>
        <v/>
      </c>
      <c r="AK249" s="15" t="str">
        <f t="shared" si="246"/>
        <v/>
      </c>
      <c r="AL249" s="15" t="str">
        <f t="shared" si="246"/>
        <v/>
      </c>
      <c r="AM249" s="15" t="str">
        <f t="shared" si="246"/>
        <v/>
      </c>
      <c r="AN249" s="15" t="str">
        <f t="shared" si="246"/>
        <v/>
      </c>
      <c r="AO249" s="15" t="str">
        <f t="shared" si="246"/>
        <v/>
      </c>
      <c r="AP249" s="15" t="str">
        <f t="shared" si="246"/>
        <v/>
      </c>
      <c r="AQ249" s="15" t="str">
        <f t="shared" si="246"/>
        <v/>
      </c>
      <c r="AR249" s="15" t="str">
        <f t="shared" si="246"/>
        <v/>
      </c>
      <c r="AS249" s="15" t="str">
        <f t="shared" si="246"/>
        <v/>
      </c>
      <c r="AT249" s="15" t="str">
        <f t="shared" si="246"/>
        <v/>
      </c>
      <c r="AU249" s="15" t="str">
        <f t="shared" si="246"/>
        <v/>
      </c>
      <c r="AV249" s="15" t="str">
        <f t="shared" si="246"/>
        <v/>
      </c>
      <c r="AW249" s="15" t="str">
        <f t="shared" si="246"/>
        <v/>
      </c>
      <c r="AX249" s="15" t="str">
        <f t="shared" si="246"/>
        <v/>
      </c>
      <c r="AY249" s="15" t="str">
        <f t="shared" si="246"/>
        <v/>
      </c>
    </row>
    <row r="250" ht="18.0" customHeight="1">
      <c r="A250" s="13" t="str">
        <f t="shared" si="1"/>
        <v/>
      </c>
      <c r="B250" s="13" t="str">
        <f t="shared" si="2"/>
        <v/>
      </c>
      <c r="C250" s="12" t="str">
        <f t="shared" si="3"/>
        <v/>
      </c>
      <c r="D250" s="12" t="str">
        <f t="shared" si="4"/>
        <v/>
      </c>
      <c r="E250" s="12" t="str">
        <f t="shared" si="5"/>
        <v/>
      </c>
      <c r="F250" s="12" t="str">
        <f t="shared" si="6"/>
        <v/>
      </c>
      <c r="G250" s="12" t="str">
        <f t="shared" si="7"/>
        <v/>
      </c>
      <c r="H250" s="12" t="str">
        <f t="shared" si="8"/>
        <v/>
      </c>
      <c r="I250" s="12" t="str">
        <f t="shared" si="9"/>
        <v/>
      </c>
      <c r="J250" s="12" t="str">
        <f t="shared" si="10"/>
        <v/>
      </c>
      <c r="L250" s="15" t="str">
        <f t="shared" ref="L250:AY250" si="247">IF(L$13="","",IF(AND(L$13&gt;$H249,L$13&lt;=$I249),IF(AND(MOD($B$6,2)=1,L$13=ROUNDUP($J249,0)),"0",IF(L$13=INT($H249)+1,ROUNDDOWN(ABS(L$13-$J249),0),IF(L$13=INT($I249),ROUNDUP(ABS(L$13-$J249),0),""))),""))</f>
        <v/>
      </c>
      <c r="M250" s="15" t="str">
        <f t="shared" si="247"/>
        <v/>
      </c>
      <c r="N250" s="15" t="str">
        <f t="shared" si="247"/>
        <v/>
      </c>
      <c r="O250" s="15" t="str">
        <f t="shared" si="247"/>
        <v/>
      </c>
      <c r="P250" s="15" t="str">
        <f t="shared" si="247"/>
        <v/>
      </c>
      <c r="Q250" s="15" t="str">
        <f t="shared" si="247"/>
        <v/>
      </c>
      <c r="R250" s="15" t="str">
        <f t="shared" si="247"/>
        <v/>
      </c>
      <c r="S250" s="15" t="str">
        <f t="shared" si="247"/>
        <v/>
      </c>
      <c r="T250" s="15" t="str">
        <f t="shared" si="247"/>
        <v/>
      </c>
      <c r="U250" s="15" t="str">
        <f t="shared" si="247"/>
        <v/>
      </c>
      <c r="V250" s="15" t="str">
        <f t="shared" si="247"/>
        <v/>
      </c>
      <c r="W250" s="15" t="str">
        <f t="shared" si="247"/>
        <v/>
      </c>
      <c r="X250" s="15" t="str">
        <f t="shared" si="247"/>
        <v/>
      </c>
      <c r="Y250" s="15" t="str">
        <f t="shared" si="247"/>
        <v/>
      </c>
      <c r="Z250" s="15" t="str">
        <f t="shared" si="247"/>
        <v/>
      </c>
      <c r="AA250" s="15" t="str">
        <f t="shared" si="247"/>
        <v/>
      </c>
      <c r="AB250" s="15" t="str">
        <f t="shared" si="247"/>
        <v/>
      </c>
      <c r="AC250" s="15" t="str">
        <f t="shared" si="247"/>
        <v/>
      </c>
      <c r="AD250" s="15" t="str">
        <f t="shared" si="247"/>
        <v/>
      </c>
      <c r="AE250" s="15" t="str">
        <f t="shared" si="247"/>
        <v/>
      </c>
      <c r="AF250" s="15" t="str">
        <f t="shared" si="247"/>
        <v/>
      </c>
      <c r="AG250" s="15" t="str">
        <f t="shared" si="247"/>
        <v/>
      </c>
      <c r="AH250" s="15" t="str">
        <f t="shared" si="247"/>
        <v/>
      </c>
      <c r="AI250" s="15" t="str">
        <f t="shared" si="247"/>
        <v/>
      </c>
      <c r="AJ250" s="15" t="str">
        <f t="shared" si="247"/>
        <v/>
      </c>
      <c r="AK250" s="15" t="str">
        <f t="shared" si="247"/>
        <v/>
      </c>
      <c r="AL250" s="15" t="str">
        <f t="shared" si="247"/>
        <v/>
      </c>
      <c r="AM250" s="15" t="str">
        <f t="shared" si="247"/>
        <v/>
      </c>
      <c r="AN250" s="15" t="str">
        <f t="shared" si="247"/>
        <v/>
      </c>
      <c r="AO250" s="15" t="str">
        <f t="shared" si="247"/>
        <v/>
      </c>
      <c r="AP250" s="15" t="str">
        <f t="shared" si="247"/>
        <v/>
      </c>
      <c r="AQ250" s="15" t="str">
        <f t="shared" si="247"/>
        <v/>
      </c>
      <c r="AR250" s="15" t="str">
        <f t="shared" si="247"/>
        <v/>
      </c>
      <c r="AS250" s="15" t="str">
        <f t="shared" si="247"/>
        <v/>
      </c>
      <c r="AT250" s="15" t="str">
        <f t="shared" si="247"/>
        <v/>
      </c>
      <c r="AU250" s="15" t="str">
        <f t="shared" si="247"/>
        <v/>
      </c>
      <c r="AV250" s="15" t="str">
        <f t="shared" si="247"/>
        <v/>
      </c>
      <c r="AW250" s="15" t="str">
        <f t="shared" si="247"/>
        <v/>
      </c>
      <c r="AX250" s="15" t="str">
        <f t="shared" si="247"/>
        <v/>
      </c>
      <c r="AY250" s="15" t="str">
        <f t="shared" si="247"/>
        <v/>
      </c>
    </row>
    <row r="251" ht="18.0" customHeight="1">
      <c r="A251" s="13" t="str">
        <f t="shared" si="1"/>
        <v/>
      </c>
      <c r="B251" s="13" t="str">
        <f t="shared" si="2"/>
        <v/>
      </c>
      <c r="C251" s="12" t="str">
        <f t="shared" si="3"/>
        <v/>
      </c>
      <c r="D251" s="12" t="str">
        <f t="shared" si="4"/>
        <v/>
      </c>
      <c r="E251" s="12" t="str">
        <f t="shared" si="5"/>
        <v/>
      </c>
      <c r="F251" s="12" t="str">
        <f t="shared" si="6"/>
        <v/>
      </c>
      <c r="G251" s="12" t="str">
        <f t="shared" si="7"/>
        <v/>
      </c>
      <c r="H251" s="12" t="str">
        <f t="shared" si="8"/>
        <v/>
      </c>
      <c r="I251" s="12" t="str">
        <f t="shared" si="9"/>
        <v/>
      </c>
      <c r="J251" s="12" t="str">
        <f t="shared" si="10"/>
        <v/>
      </c>
      <c r="L251" s="15" t="str">
        <f t="shared" ref="L251:AY251" si="248">IF(L$13="","",IF(AND(L$13&gt;$H250,L$13&lt;=$I250),IF(AND(MOD($B$6,2)=1,L$13=ROUNDUP($J250,0)),"0",IF(L$13=INT($H250)+1,ROUNDDOWN(ABS(L$13-$J250),0),IF(L$13=INT($I250),ROUNDUP(ABS(L$13-$J250),0),""))),""))</f>
        <v/>
      </c>
      <c r="M251" s="15" t="str">
        <f t="shared" si="248"/>
        <v/>
      </c>
      <c r="N251" s="15" t="str">
        <f t="shared" si="248"/>
        <v/>
      </c>
      <c r="O251" s="15" t="str">
        <f t="shared" si="248"/>
        <v/>
      </c>
      <c r="P251" s="15" t="str">
        <f t="shared" si="248"/>
        <v/>
      </c>
      <c r="Q251" s="15" t="str">
        <f t="shared" si="248"/>
        <v/>
      </c>
      <c r="R251" s="15" t="str">
        <f t="shared" si="248"/>
        <v/>
      </c>
      <c r="S251" s="15" t="str">
        <f t="shared" si="248"/>
        <v/>
      </c>
      <c r="T251" s="15" t="str">
        <f t="shared" si="248"/>
        <v/>
      </c>
      <c r="U251" s="15" t="str">
        <f t="shared" si="248"/>
        <v/>
      </c>
      <c r="V251" s="15" t="str">
        <f t="shared" si="248"/>
        <v/>
      </c>
      <c r="W251" s="15" t="str">
        <f t="shared" si="248"/>
        <v/>
      </c>
      <c r="X251" s="15" t="str">
        <f t="shared" si="248"/>
        <v/>
      </c>
      <c r="Y251" s="15" t="str">
        <f t="shared" si="248"/>
        <v/>
      </c>
      <c r="Z251" s="15" t="str">
        <f t="shared" si="248"/>
        <v/>
      </c>
      <c r="AA251" s="15" t="str">
        <f t="shared" si="248"/>
        <v/>
      </c>
      <c r="AB251" s="15" t="str">
        <f t="shared" si="248"/>
        <v/>
      </c>
      <c r="AC251" s="15" t="str">
        <f t="shared" si="248"/>
        <v/>
      </c>
      <c r="AD251" s="15" t="str">
        <f t="shared" si="248"/>
        <v/>
      </c>
      <c r="AE251" s="15" t="str">
        <f t="shared" si="248"/>
        <v/>
      </c>
      <c r="AF251" s="15" t="str">
        <f t="shared" si="248"/>
        <v/>
      </c>
      <c r="AG251" s="15" t="str">
        <f t="shared" si="248"/>
        <v/>
      </c>
      <c r="AH251" s="15" t="str">
        <f t="shared" si="248"/>
        <v/>
      </c>
      <c r="AI251" s="15" t="str">
        <f t="shared" si="248"/>
        <v/>
      </c>
      <c r="AJ251" s="15" t="str">
        <f t="shared" si="248"/>
        <v/>
      </c>
      <c r="AK251" s="15" t="str">
        <f t="shared" si="248"/>
        <v/>
      </c>
      <c r="AL251" s="15" t="str">
        <f t="shared" si="248"/>
        <v/>
      </c>
      <c r="AM251" s="15" t="str">
        <f t="shared" si="248"/>
        <v/>
      </c>
      <c r="AN251" s="15" t="str">
        <f t="shared" si="248"/>
        <v/>
      </c>
      <c r="AO251" s="15" t="str">
        <f t="shared" si="248"/>
        <v/>
      </c>
      <c r="AP251" s="15" t="str">
        <f t="shared" si="248"/>
        <v/>
      </c>
      <c r="AQ251" s="15" t="str">
        <f t="shared" si="248"/>
        <v/>
      </c>
      <c r="AR251" s="15" t="str">
        <f t="shared" si="248"/>
        <v/>
      </c>
      <c r="AS251" s="15" t="str">
        <f t="shared" si="248"/>
        <v/>
      </c>
      <c r="AT251" s="15" t="str">
        <f t="shared" si="248"/>
        <v/>
      </c>
      <c r="AU251" s="15" t="str">
        <f t="shared" si="248"/>
        <v/>
      </c>
      <c r="AV251" s="15" t="str">
        <f t="shared" si="248"/>
        <v/>
      </c>
      <c r="AW251" s="15" t="str">
        <f t="shared" si="248"/>
        <v/>
      </c>
      <c r="AX251" s="15" t="str">
        <f t="shared" si="248"/>
        <v/>
      </c>
      <c r="AY251" s="15" t="str">
        <f t="shared" si="248"/>
        <v/>
      </c>
    </row>
    <row r="252" ht="18.0" customHeight="1">
      <c r="A252" s="13" t="str">
        <f t="shared" si="1"/>
        <v/>
      </c>
      <c r="B252" s="13" t="str">
        <f t="shared" si="2"/>
        <v/>
      </c>
      <c r="C252" s="12" t="str">
        <f t="shared" si="3"/>
        <v/>
      </c>
      <c r="D252" s="12" t="str">
        <f t="shared" si="4"/>
        <v/>
      </c>
      <c r="E252" s="12" t="str">
        <f t="shared" si="5"/>
        <v/>
      </c>
      <c r="F252" s="12" t="str">
        <f t="shared" si="6"/>
        <v/>
      </c>
      <c r="G252" s="12" t="str">
        <f t="shared" si="7"/>
        <v/>
      </c>
      <c r="H252" s="12" t="str">
        <f t="shared" si="8"/>
        <v/>
      </c>
      <c r="I252" s="12" t="str">
        <f t="shared" si="9"/>
        <v/>
      </c>
      <c r="J252" s="12" t="str">
        <f t="shared" si="10"/>
        <v/>
      </c>
      <c r="L252" s="15" t="str">
        <f t="shared" ref="L252:AY252" si="249">IF(L$13="","",IF(AND(L$13&gt;$H251,L$13&lt;=$I251),IF(AND(MOD($B$6,2)=1,L$13=ROUNDUP($J251,0)),"0",IF(L$13=INT($H251)+1,ROUNDDOWN(ABS(L$13-$J251),0),IF(L$13=INT($I251),ROUNDUP(ABS(L$13-$J251),0),""))),""))</f>
        <v/>
      </c>
      <c r="M252" s="15" t="str">
        <f t="shared" si="249"/>
        <v/>
      </c>
      <c r="N252" s="15" t="str">
        <f t="shared" si="249"/>
        <v/>
      </c>
      <c r="O252" s="15" t="str">
        <f t="shared" si="249"/>
        <v/>
      </c>
      <c r="P252" s="15" t="str">
        <f t="shared" si="249"/>
        <v/>
      </c>
      <c r="Q252" s="15" t="str">
        <f t="shared" si="249"/>
        <v/>
      </c>
      <c r="R252" s="15" t="str">
        <f t="shared" si="249"/>
        <v/>
      </c>
      <c r="S252" s="15" t="str">
        <f t="shared" si="249"/>
        <v/>
      </c>
      <c r="T252" s="15" t="str">
        <f t="shared" si="249"/>
        <v/>
      </c>
      <c r="U252" s="15" t="str">
        <f t="shared" si="249"/>
        <v/>
      </c>
      <c r="V252" s="15" t="str">
        <f t="shared" si="249"/>
        <v/>
      </c>
      <c r="W252" s="15" t="str">
        <f t="shared" si="249"/>
        <v/>
      </c>
      <c r="X252" s="15" t="str">
        <f t="shared" si="249"/>
        <v/>
      </c>
      <c r="Y252" s="15" t="str">
        <f t="shared" si="249"/>
        <v/>
      </c>
      <c r="Z252" s="15" t="str">
        <f t="shared" si="249"/>
        <v/>
      </c>
      <c r="AA252" s="15" t="str">
        <f t="shared" si="249"/>
        <v/>
      </c>
      <c r="AB252" s="15" t="str">
        <f t="shared" si="249"/>
        <v/>
      </c>
      <c r="AC252" s="15" t="str">
        <f t="shared" si="249"/>
        <v/>
      </c>
      <c r="AD252" s="15" t="str">
        <f t="shared" si="249"/>
        <v/>
      </c>
      <c r="AE252" s="15" t="str">
        <f t="shared" si="249"/>
        <v/>
      </c>
      <c r="AF252" s="15" t="str">
        <f t="shared" si="249"/>
        <v/>
      </c>
      <c r="AG252" s="15" t="str">
        <f t="shared" si="249"/>
        <v/>
      </c>
      <c r="AH252" s="15" t="str">
        <f t="shared" si="249"/>
        <v/>
      </c>
      <c r="AI252" s="15" t="str">
        <f t="shared" si="249"/>
        <v/>
      </c>
      <c r="AJ252" s="15" t="str">
        <f t="shared" si="249"/>
        <v/>
      </c>
      <c r="AK252" s="15" t="str">
        <f t="shared" si="249"/>
        <v/>
      </c>
      <c r="AL252" s="15" t="str">
        <f t="shared" si="249"/>
        <v/>
      </c>
      <c r="AM252" s="15" t="str">
        <f t="shared" si="249"/>
        <v/>
      </c>
      <c r="AN252" s="15" t="str">
        <f t="shared" si="249"/>
        <v/>
      </c>
      <c r="AO252" s="15" t="str">
        <f t="shared" si="249"/>
        <v/>
      </c>
      <c r="AP252" s="15" t="str">
        <f t="shared" si="249"/>
        <v/>
      </c>
      <c r="AQ252" s="15" t="str">
        <f t="shared" si="249"/>
        <v/>
      </c>
      <c r="AR252" s="15" t="str">
        <f t="shared" si="249"/>
        <v/>
      </c>
      <c r="AS252" s="15" t="str">
        <f t="shared" si="249"/>
        <v/>
      </c>
      <c r="AT252" s="15" t="str">
        <f t="shared" si="249"/>
        <v/>
      </c>
      <c r="AU252" s="15" t="str">
        <f t="shared" si="249"/>
        <v/>
      </c>
      <c r="AV252" s="15" t="str">
        <f t="shared" si="249"/>
        <v/>
      </c>
      <c r="AW252" s="15" t="str">
        <f t="shared" si="249"/>
        <v/>
      </c>
      <c r="AX252" s="15" t="str">
        <f t="shared" si="249"/>
        <v/>
      </c>
      <c r="AY252" s="15" t="str">
        <f t="shared" si="249"/>
        <v/>
      </c>
    </row>
    <row r="253" ht="18.0" customHeight="1">
      <c r="A253" s="13" t="str">
        <f t="shared" si="1"/>
        <v/>
      </c>
      <c r="B253" s="13" t="str">
        <f t="shared" si="2"/>
        <v/>
      </c>
      <c r="C253" s="12" t="str">
        <f t="shared" si="3"/>
        <v/>
      </c>
      <c r="D253" s="12" t="str">
        <f t="shared" si="4"/>
        <v/>
      </c>
      <c r="E253" s="12" t="str">
        <f t="shared" si="5"/>
        <v/>
      </c>
      <c r="F253" s="12" t="str">
        <f t="shared" si="6"/>
        <v/>
      </c>
      <c r="G253" s="12" t="str">
        <f t="shared" si="7"/>
        <v/>
      </c>
      <c r="H253" s="12" t="str">
        <f t="shared" si="8"/>
        <v/>
      </c>
      <c r="I253" s="12" t="str">
        <f t="shared" si="9"/>
        <v/>
      </c>
      <c r="J253" s="12" t="str">
        <f t="shared" si="10"/>
        <v/>
      </c>
      <c r="L253" s="15" t="str">
        <f t="shared" ref="L253:AY253" si="250">IF(L$13="","",IF(AND(L$13&gt;$H252,L$13&lt;=$I252),IF(AND(MOD($B$6,2)=1,L$13=ROUNDUP($J252,0)),"0",IF(L$13=INT($H252)+1,ROUNDDOWN(ABS(L$13-$J252),0),IF(L$13=INT($I252),ROUNDUP(ABS(L$13-$J252),0),""))),""))</f>
        <v/>
      </c>
      <c r="M253" s="15" t="str">
        <f t="shared" si="250"/>
        <v/>
      </c>
      <c r="N253" s="15" t="str">
        <f t="shared" si="250"/>
        <v/>
      </c>
      <c r="O253" s="15" t="str">
        <f t="shared" si="250"/>
        <v/>
      </c>
      <c r="P253" s="15" t="str">
        <f t="shared" si="250"/>
        <v/>
      </c>
      <c r="Q253" s="15" t="str">
        <f t="shared" si="250"/>
        <v/>
      </c>
      <c r="R253" s="15" t="str">
        <f t="shared" si="250"/>
        <v/>
      </c>
      <c r="S253" s="15" t="str">
        <f t="shared" si="250"/>
        <v/>
      </c>
      <c r="T253" s="15" t="str">
        <f t="shared" si="250"/>
        <v/>
      </c>
      <c r="U253" s="15" t="str">
        <f t="shared" si="250"/>
        <v/>
      </c>
      <c r="V253" s="15" t="str">
        <f t="shared" si="250"/>
        <v/>
      </c>
      <c r="W253" s="15" t="str">
        <f t="shared" si="250"/>
        <v/>
      </c>
      <c r="X253" s="15" t="str">
        <f t="shared" si="250"/>
        <v/>
      </c>
      <c r="Y253" s="15" t="str">
        <f t="shared" si="250"/>
        <v/>
      </c>
      <c r="Z253" s="15" t="str">
        <f t="shared" si="250"/>
        <v/>
      </c>
      <c r="AA253" s="15" t="str">
        <f t="shared" si="250"/>
        <v/>
      </c>
      <c r="AB253" s="15" t="str">
        <f t="shared" si="250"/>
        <v/>
      </c>
      <c r="AC253" s="15" t="str">
        <f t="shared" si="250"/>
        <v/>
      </c>
      <c r="AD253" s="15" t="str">
        <f t="shared" si="250"/>
        <v/>
      </c>
      <c r="AE253" s="15" t="str">
        <f t="shared" si="250"/>
        <v/>
      </c>
      <c r="AF253" s="15" t="str">
        <f t="shared" si="250"/>
        <v/>
      </c>
      <c r="AG253" s="15" t="str">
        <f t="shared" si="250"/>
        <v/>
      </c>
      <c r="AH253" s="15" t="str">
        <f t="shared" si="250"/>
        <v/>
      </c>
      <c r="AI253" s="15" t="str">
        <f t="shared" si="250"/>
        <v/>
      </c>
      <c r="AJ253" s="15" t="str">
        <f t="shared" si="250"/>
        <v/>
      </c>
      <c r="AK253" s="15" t="str">
        <f t="shared" si="250"/>
        <v/>
      </c>
      <c r="AL253" s="15" t="str">
        <f t="shared" si="250"/>
        <v/>
      </c>
      <c r="AM253" s="15" t="str">
        <f t="shared" si="250"/>
        <v/>
      </c>
      <c r="AN253" s="15" t="str">
        <f t="shared" si="250"/>
        <v/>
      </c>
      <c r="AO253" s="15" t="str">
        <f t="shared" si="250"/>
        <v/>
      </c>
      <c r="AP253" s="15" t="str">
        <f t="shared" si="250"/>
        <v/>
      </c>
      <c r="AQ253" s="15" t="str">
        <f t="shared" si="250"/>
        <v/>
      </c>
      <c r="AR253" s="15" t="str">
        <f t="shared" si="250"/>
        <v/>
      </c>
      <c r="AS253" s="15" t="str">
        <f t="shared" si="250"/>
        <v/>
      </c>
      <c r="AT253" s="15" t="str">
        <f t="shared" si="250"/>
        <v/>
      </c>
      <c r="AU253" s="15" t="str">
        <f t="shared" si="250"/>
        <v/>
      </c>
      <c r="AV253" s="15" t="str">
        <f t="shared" si="250"/>
        <v/>
      </c>
      <c r="AW253" s="15" t="str">
        <f t="shared" si="250"/>
        <v/>
      </c>
      <c r="AX253" s="15" t="str">
        <f t="shared" si="250"/>
        <v/>
      </c>
      <c r="AY253" s="15" t="str">
        <f t="shared" si="250"/>
        <v/>
      </c>
    </row>
    <row r="254" ht="18.0" customHeight="1">
      <c r="A254" s="13" t="str">
        <f t="shared" si="1"/>
        <v/>
      </c>
      <c r="B254" s="13" t="str">
        <f t="shared" si="2"/>
        <v/>
      </c>
      <c r="C254" s="12" t="str">
        <f t="shared" si="3"/>
        <v/>
      </c>
      <c r="D254" s="12" t="str">
        <f t="shared" si="4"/>
        <v/>
      </c>
      <c r="E254" s="12" t="str">
        <f t="shared" si="5"/>
        <v/>
      </c>
      <c r="F254" s="12" t="str">
        <f t="shared" si="6"/>
        <v/>
      </c>
      <c r="G254" s="12" t="str">
        <f t="shared" si="7"/>
        <v/>
      </c>
      <c r="H254" s="12" t="str">
        <f t="shared" si="8"/>
        <v/>
      </c>
      <c r="I254" s="12" t="str">
        <f t="shared" si="9"/>
        <v/>
      </c>
      <c r="J254" s="12" t="str">
        <f t="shared" si="10"/>
        <v/>
      </c>
      <c r="L254" s="15" t="str">
        <f t="shared" ref="L254:AY254" si="251">IF(L$13="","",IF(AND(L$13&gt;$H253,L$13&lt;=$I253),IF(AND(MOD($B$6,2)=1,L$13=ROUNDUP($J253,0)),"0",IF(L$13=INT($H253)+1,ROUNDDOWN(ABS(L$13-$J253),0),IF(L$13=INT($I253),ROUNDUP(ABS(L$13-$J253),0),""))),""))</f>
        <v/>
      </c>
      <c r="M254" s="15" t="str">
        <f t="shared" si="251"/>
        <v/>
      </c>
      <c r="N254" s="15" t="str">
        <f t="shared" si="251"/>
        <v/>
      </c>
      <c r="O254" s="15" t="str">
        <f t="shared" si="251"/>
        <v/>
      </c>
      <c r="P254" s="15" t="str">
        <f t="shared" si="251"/>
        <v/>
      </c>
      <c r="Q254" s="15" t="str">
        <f t="shared" si="251"/>
        <v/>
      </c>
      <c r="R254" s="15" t="str">
        <f t="shared" si="251"/>
        <v/>
      </c>
      <c r="S254" s="15" t="str">
        <f t="shared" si="251"/>
        <v/>
      </c>
      <c r="T254" s="15" t="str">
        <f t="shared" si="251"/>
        <v/>
      </c>
      <c r="U254" s="15" t="str">
        <f t="shared" si="251"/>
        <v/>
      </c>
      <c r="V254" s="15" t="str">
        <f t="shared" si="251"/>
        <v/>
      </c>
      <c r="W254" s="15" t="str">
        <f t="shared" si="251"/>
        <v/>
      </c>
      <c r="X254" s="15" t="str">
        <f t="shared" si="251"/>
        <v/>
      </c>
      <c r="Y254" s="15" t="str">
        <f t="shared" si="251"/>
        <v/>
      </c>
      <c r="Z254" s="15" t="str">
        <f t="shared" si="251"/>
        <v/>
      </c>
      <c r="AA254" s="15" t="str">
        <f t="shared" si="251"/>
        <v/>
      </c>
      <c r="AB254" s="15" t="str">
        <f t="shared" si="251"/>
        <v/>
      </c>
      <c r="AC254" s="15" t="str">
        <f t="shared" si="251"/>
        <v/>
      </c>
      <c r="AD254" s="15" t="str">
        <f t="shared" si="251"/>
        <v/>
      </c>
      <c r="AE254" s="15" t="str">
        <f t="shared" si="251"/>
        <v/>
      </c>
      <c r="AF254" s="15" t="str">
        <f t="shared" si="251"/>
        <v/>
      </c>
      <c r="AG254" s="15" t="str">
        <f t="shared" si="251"/>
        <v/>
      </c>
      <c r="AH254" s="15" t="str">
        <f t="shared" si="251"/>
        <v/>
      </c>
      <c r="AI254" s="15" t="str">
        <f t="shared" si="251"/>
        <v/>
      </c>
      <c r="AJ254" s="15" t="str">
        <f t="shared" si="251"/>
        <v/>
      </c>
      <c r="AK254" s="15" t="str">
        <f t="shared" si="251"/>
        <v/>
      </c>
      <c r="AL254" s="15" t="str">
        <f t="shared" si="251"/>
        <v/>
      </c>
      <c r="AM254" s="15" t="str">
        <f t="shared" si="251"/>
        <v/>
      </c>
      <c r="AN254" s="15" t="str">
        <f t="shared" si="251"/>
        <v/>
      </c>
      <c r="AO254" s="15" t="str">
        <f t="shared" si="251"/>
        <v/>
      </c>
      <c r="AP254" s="15" t="str">
        <f t="shared" si="251"/>
        <v/>
      </c>
      <c r="AQ254" s="15" t="str">
        <f t="shared" si="251"/>
        <v/>
      </c>
      <c r="AR254" s="15" t="str">
        <f t="shared" si="251"/>
        <v/>
      </c>
      <c r="AS254" s="15" t="str">
        <f t="shared" si="251"/>
        <v/>
      </c>
      <c r="AT254" s="15" t="str">
        <f t="shared" si="251"/>
        <v/>
      </c>
      <c r="AU254" s="15" t="str">
        <f t="shared" si="251"/>
        <v/>
      </c>
      <c r="AV254" s="15" t="str">
        <f t="shared" si="251"/>
        <v/>
      </c>
      <c r="AW254" s="15" t="str">
        <f t="shared" si="251"/>
        <v/>
      </c>
      <c r="AX254" s="15" t="str">
        <f t="shared" si="251"/>
        <v/>
      </c>
      <c r="AY254" s="15" t="str">
        <f t="shared" si="251"/>
        <v/>
      </c>
    </row>
    <row r="255" ht="18.0" customHeight="1">
      <c r="A255" s="13" t="str">
        <f t="shared" si="1"/>
        <v/>
      </c>
      <c r="B255" s="13" t="str">
        <f t="shared" si="2"/>
        <v/>
      </c>
      <c r="C255" s="12" t="str">
        <f t="shared" si="3"/>
        <v/>
      </c>
      <c r="D255" s="12" t="str">
        <f t="shared" si="4"/>
        <v/>
      </c>
      <c r="E255" s="12" t="str">
        <f t="shared" si="5"/>
        <v/>
      </c>
      <c r="F255" s="12" t="str">
        <f t="shared" si="6"/>
        <v/>
      </c>
      <c r="G255" s="12" t="str">
        <f t="shared" si="7"/>
        <v/>
      </c>
      <c r="H255" s="12" t="str">
        <f t="shared" si="8"/>
        <v/>
      </c>
      <c r="I255" s="12" t="str">
        <f t="shared" si="9"/>
        <v/>
      </c>
      <c r="J255" s="12" t="str">
        <f t="shared" si="10"/>
        <v/>
      </c>
      <c r="L255" s="15" t="str">
        <f t="shared" ref="L255:AY255" si="252">IF(L$13="","",IF(AND(L$13&gt;$H254,L$13&lt;=$I254),IF(AND(MOD($B$6,2)=1,L$13=ROUNDUP($J254,0)),"0",IF(L$13=INT($H254)+1,ROUNDDOWN(ABS(L$13-$J254),0),IF(L$13=INT($I254),ROUNDUP(ABS(L$13-$J254),0),""))),""))</f>
        <v/>
      </c>
      <c r="M255" s="15" t="str">
        <f t="shared" si="252"/>
        <v/>
      </c>
      <c r="N255" s="15" t="str">
        <f t="shared" si="252"/>
        <v/>
      </c>
      <c r="O255" s="15" t="str">
        <f t="shared" si="252"/>
        <v/>
      </c>
      <c r="P255" s="15" t="str">
        <f t="shared" si="252"/>
        <v/>
      </c>
      <c r="Q255" s="15" t="str">
        <f t="shared" si="252"/>
        <v/>
      </c>
      <c r="R255" s="15" t="str">
        <f t="shared" si="252"/>
        <v/>
      </c>
      <c r="S255" s="15" t="str">
        <f t="shared" si="252"/>
        <v/>
      </c>
      <c r="T255" s="15" t="str">
        <f t="shared" si="252"/>
        <v/>
      </c>
      <c r="U255" s="15" t="str">
        <f t="shared" si="252"/>
        <v/>
      </c>
      <c r="V255" s="15" t="str">
        <f t="shared" si="252"/>
        <v/>
      </c>
      <c r="W255" s="15" t="str">
        <f t="shared" si="252"/>
        <v/>
      </c>
      <c r="X255" s="15" t="str">
        <f t="shared" si="252"/>
        <v/>
      </c>
      <c r="Y255" s="15" t="str">
        <f t="shared" si="252"/>
        <v/>
      </c>
      <c r="Z255" s="15" t="str">
        <f t="shared" si="252"/>
        <v/>
      </c>
      <c r="AA255" s="15" t="str">
        <f t="shared" si="252"/>
        <v/>
      </c>
      <c r="AB255" s="15" t="str">
        <f t="shared" si="252"/>
        <v/>
      </c>
      <c r="AC255" s="15" t="str">
        <f t="shared" si="252"/>
        <v/>
      </c>
      <c r="AD255" s="15" t="str">
        <f t="shared" si="252"/>
        <v/>
      </c>
      <c r="AE255" s="15" t="str">
        <f t="shared" si="252"/>
        <v/>
      </c>
      <c r="AF255" s="15" t="str">
        <f t="shared" si="252"/>
        <v/>
      </c>
      <c r="AG255" s="15" t="str">
        <f t="shared" si="252"/>
        <v/>
      </c>
      <c r="AH255" s="15" t="str">
        <f t="shared" si="252"/>
        <v/>
      </c>
      <c r="AI255" s="15" t="str">
        <f t="shared" si="252"/>
        <v/>
      </c>
      <c r="AJ255" s="15" t="str">
        <f t="shared" si="252"/>
        <v/>
      </c>
      <c r="AK255" s="15" t="str">
        <f t="shared" si="252"/>
        <v/>
      </c>
      <c r="AL255" s="15" t="str">
        <f t="shared" si="252"/>
        <v/>
      </c>
      <c r="AM255" s="15" t="str">
        <f t="shared" si="252"/>
        <v/>
      </c>
      <c r="AN255" s="15" t="str">
        <f t="shared" si="252"/>
        <v/>
      </c>
      <c r="AO255" s="15" t="str">
        <f t="shared" si="252"/>
        <v/>
      </c>
      <c r="AP255" s="15" t="str">
        <f t="shared" si="252"/>
        <v/>
      </c>
      <c r="AQ255" s="15" t="str">
        <f t="shared" si="252"/>
        <v/>
      </c>
      <c r="AR255" s="15" t="str">
        <f t="shared" si="252"/>
        <v/>
      </c>
      <c r="AS255" s="15" t="str">
        <f t="shared" si="252"/>
        <v/>
      </c>
      <c r="AT255" s="15" t="str">
        <f t="shared" si="252"/>
        <v/>
      </c>
      <c r="AU255" s="15" t="str">
        <f t="shared" si="252"/>
        <v/>
      </c>
      <c r="AV255" s="15" t="str">
        <f t="shared" si="252"/>
        <v/>
      </c>
      <c r="AW255" s="15" t="str">
        <f t="shared" si="252"/>
        <v/>
      </c>
      <c r="AX255" s="15" t="str">
        <f t="shared" si="252"/>
        <v/>
      </c>
      <c r="AY255" s="15" t="str">
        <f t="shared" si="252"/>
        <v/>
      </c>
    </row>
    <row r="256" ht="18.0" customHeight="1">
      <c r="A256" s="13" t="str">
        <f t="shared" si="1"/>
        <v/>
      </c>
      <c r="B256" s="13" t="str">
        <f t="shared" si="2"/>
        <v/>
      </c>
      <c r="C256" s="12" t="str">
        <f t="shared" si="3"/>
        <v/>
      </c>
      <c r="D256" s="12" t="str">
        <f t="shared" si="4"/>
        <v/>
      </c>
      <c r="E256" s="12" t="str">
        <f t="shared" si="5"/>
        <v/>
      </c>
      <c r="F256" s="12" t="str">
        <f t="shared" si="6"/>
        <v/>
      </c>
      <c r="G256" s="12" t="str">
        <f t="shared" si="7"/>
        <v/>
      </c>
      <c r="H256" s="12" t="str">
        <f t="shared" si="8"/>
        <v/>
      </c>
      <c r="I256" s="12" t="str">
        <f t="shared" si="9"/>
        <v/>
      </c>
      <c r="J256" s="12" t="str">
        <f t="shared" si="10"/>
        <v/>
      </c>
      <c r="L256" s="15" t="str">
        <f t="shared" ref="L256:AY256" si="253">IF(L$13="","",IF(AND(L$13&gt;$H255,L$13&lt;=$I255),IF(AND(MOD($B$6,2)=1,L$13=ROUNDUP($J255,0)),"0",IF(L$13=INT($H255)+1,ROUNDDOWN(ABS(L$13-$J255),0),IF(L$13=INT($I255),ROUNDUP(ABS(L$13-$J255),0),""))),""))</f>
        <v/>
      </c>
      <c r="M256" s="15" t="str">
        <f t="shared" si="253"/>
        <v/>
      </c>
      <c r="N256" s="15" t="str">
        <f t="shared" si="253"/>
        <v/>
      </c>
      <c r="O256" s="15" t="str">
        <f t="shared" si="253"/>
        <v/>
      </c>
      <c r="P256" s="15" t="str">
        <f t="shared" si="253"/>
        <v/>
      </c>
      <c r="Q256" s="15" t="str">
        <f t="shared" si="253"/>
        <v/>
      </c>
      <c r="R256" s="15" t="str">
        <f t="shared" si="253"/>
        <v/>
      </c>
      <c r="S256" s="15" t="str">
        <f t="shared" si="253"/>
        <v/>
      </c>
      <c r="T256" s="15" t="str">
        <f t="shared" si="253"/>
        <v/>
      </c>
      <c r="U256" s="15" t="str">
        <f t="shared" si="253"/>
        <v/>
      </c>
      <c r="V256" s="15" t="str">
        <f t="shared" si="253"/>
        <v/>
      </c>
      <c r="W256" s="15" t="str">
        <f t="shared" si="253"/>
        <v/>
      </c>
      <c r="X256" s="15" t="str">
        <f t="shared" si="253"/>
        <v/>
      </c>
      <c r="Y256" s="15" t="str">
        <f t="shared" si="253"/>
        <v/>
      </c>
      <c r="Z256" s="15" t="str">
        <f t="shared" si="253"/>
        <v/>
      </c>
      <c r="AA256" s="15" t="str">
        <f t="shared" si="253"/>
        <v/>
      </c>
      <c r="AB256" s="15" t="str">
        <f t="shared" si="253"/>
        <v/>
      </c>
      <c r="AC256" s="15" t="str">
        <f t="shared" si="253"/>
        <v/>
      </c>
      <c r="AD256" s="15" t="str">
        <f t="shared" si="253"/>
        <v/>
      </c>
      <c r="AE256" s="15" t="str">
        <f t="shared" si="253"/>
        <v/>
      </c>
      <c r="AF256" s="15" t="str">
        <f t="shared" si="253"/>
        <v/>
      </c>
      <c r="AG256" s="15" t="str">
        <f t="shared" si="253"/>
        <v/>
      </c>
      <c r="AH256" s="15" t="str">
        <f t="shared" si="253"/>
        <v/>
      </c>
      <c r="AI256" s="15" t="str">
        <f t="shared" si="253"/>
        <v/>
      </c>
      <c r="AJ256" s="15" t="str">
        <f t="shared" si="253"/>
        <v/>
      </c>
      <c r="AK256" s="15" t="str">
        <f t="shared" si="253"/>
        <v/>
      </c>
      <c r="AL256" s="15" t="str">
        <f t="shared" si="253"/>
        <v/>
      </c>
      <c r="AM256" s="15" t="str">
        <f t="shared" si="253"/>
        <v/>
      </c>
      <c r="AN256" s="15" t="str">
        <f t="shared" si="253"/>
        <v/>
      </c>
      <c r="AO256" s="15" t="str">
        <f t="shared" si="253"/>
        <v/>
      </c>
      <c r="AP256" s="15" t="str">
        <f t="shared" si="253"/>
        <v/>
      </c>
      <c r="AQ256" s="15" t="str">
        <f t="shared" si="253"/>
        <v/>
      </c>
      <c r="AR256" s="15" t="str">
        <f t="shared" si="253"/>
        <v/>
      </c>
      <c r="AS256" s="15" t="str">
        <f t="shared" si="253"/>
        <v/>
      </c>
      <c r="AT256" s="15" t="str">
        <f t="shared" si="253"/>
        <v/>
      </c>
      <c r="AU256" s="15" t="str">
        <f t="shared" si="253"/>
        <v/>
      </c>
      <c r="AV256" s="15" t="str">
        <f t="shared" si="253"/>
        <v/>
      </c>
      <c r="AW256" s="15" t="str">
        <f t="shared" si="253"/>
        <v/>
      </c>
      <c r="AX256" s="15" t="str">
        <f t="shared" si="253"/>
        <v/>
      </c>
      <c r="AY256" s="15" t="str">
        <f t="shared" si="253"/>
        <v/>
      </c>
    </row>
    <row r="257" ht="18.0" customHeight="1">
      <c r="A257" s="13" t="str">
        <f t="shared" si="1"/>
        <v/>
      </c>
      <c r="B257" s="13" t="str">
        <f t="shared" si="2"/>
        <v/>
      </c>
      <c r="C257" s="12" t="str">
        <f t="shared" si="3"/>
        <v/>
      </c>
      <c r="D257" s="12" t="str">
        <f t="shared" si="4"/>
        <v/>
      </c>
      <c r="E257" s="12" t="str">
        <f t="shared" si="5"/>
        <v/>
      </c>
      <c r="F257" s="12" t="str">
        <f t="shared" si="6"/>
        <v/>
      </c>
      <c r="G257" s="12" t="str">
        <f t="shared" si="7"/>
        <v/>
      </c>
      <c r="H257" s="12" t="str">
        <f t="shared" si="8"/>
        <v/>
      </c>
      <c r="I257" s="12" t="str">
        <f t="shared" si="9"/>
        <v/>
      </c>
      <c r="J257" s="12" t="str">
        <f t="shared" si="10"/>
        <v/>
      </c>
      <c r="L257" s="15" t="str">
        <f t="shared" ref="L257:AY257" si="254">IF(L$13="","",IF(AND(L$13&gt;$H256,L$13&lt;=$I256),IF(AND(MOD($B$6,2)=1,L$13=ROUNDUP($J256,0)),"0",IF(L$13=INT($H256)+1,ROUNDDOWN(ABS(L$13-$J256),0),IF(L$13=INT($I256),ROUNDUP(ABS(L$13-$J256),0),""))),""))</f>
        <v/>
      </c>
      <c r="M257" s="15" t="str">
        <f t="shared" si="254"/>
        <v/>
      </c>
      <c r="N257" s="15" t="str">
        <f t="shared" si="254"/>
        <v/>
      </c>
      <c r="O257" s="15" t="str">
        <f t="shared" si="254"/>
        <v/>
      </c>
      <c r="P257" s="15" t="str">
        <f t="shared" si="254"/>
        <v/>
      </c>
      <c r="Q257" s="15" t="str">
        <f t="shared" si="254"/>
        <v/>
      </c>
      <c r="R257" s="15" t="str">
        <f t="shared" si="254"/>
        <v/>
      </c>
      <c r="S257" s="15" t="str">
        <f t="shared" si="254"/>
        <v/>
      </c>
      <c r="T257" s="15" t="str">
        <f t="shared" si="254"/>
        <v/>
      </c>
      <c r="U257" s="15" t="str">
        <f t="shared" si="254"/>
        <v/>
      </c>
      <c r="V257" s="15" t="str">
        <f t="shared" si="254"/>
        <v/>
      </c>
      <c r="W257" s="15" t="str">
        <f t="shared" si="254"/>
        <v/>
      </c>
      <c r="X257" s="15" t="str">
        <f t="shared" si="254"/>
        <v/>
      </c>
      <c r="Y257" s="15" t="str">
        <f t="shared" si="254"/>
        <v/>
      </c>
      <c r="Z257" s="15" t="str">
        <f t="shared" si="254"/>
        <v/>
      </c>
      <c r="AA257" s="15" t="str">
        <f t="shared" si="254"/>
        <v/>
      </c>
      <c r="AB257" s="15" t="str">
        <f t="shared" si="254"/>
        <v/>
      </c>
      <c r="AC257" s="15" t="str">
        <f t="shared" si="254"/>
        <v/>
      </c>
      <c r="AD257" s="15" t="str">
        <f t="shared" si="254"/>
        <v/>
      </c>
      <c r="AE257" s="15" t="str">
        <f t="shared" si="254"/>
        <v/>
      </c>
      <c r="AF257" s="15" t="str">
        <f t="shared" si="254"/>
        <v/>
      </c>
      <c r="AG257" s="15" t="str">
        <f t="shared" si="254"/>
        <v/>
      </c>
      <c r="AH257" s="15" t="str">
        <f t="shared" si="254"/>
        <v/>
      </c>
      <c r="AI257" s="15" t="str">
        <f t="shared" si="254"/>
        <v/>
      </c>
      <c r="AJ257" s="15" t="str">
        <f t="shared" si="254"/>
        <v/>
      </c>
      <c r="AK257" s="15" t="str">
        <f t="shared" si="254"/>
        <v/>
      </c>
      <c r="AL257" s="15" t="str">
        <f t="shared" si="254"/>
        <v/>
      </c>
      <c r="AM257" s="15" t="str">
        <f t="shared" si="254"/>
        <v/>
      </c>
      <c r="AN257" s="15" t="str">
        <f t="shared" si="254"/>
        <v/>
      </c>
      <c r="AO257" s="15" t="str">
        <f t="shared" si="254"/>
        <v/>
      </c>
      <c r="AP257" s="15" t="str">
        <f t="shared" si="254"/>
        <v/>
      </c>
      <c r="AQ257" s="15" t="str">
        <f t="shared" si="254"/>
        <v/>
      </c>
      <c r="AR257" s="15" t="str">
        <f t="shared" si="254"/>
        <v/>
      </c>
      <c r="AS257" s="15" t="str">
        <f t="shared" si="254"/>
        <v/>
      </c>
      <c r="AT257" s="15" t="str">
        <f t="shared" si="254"/>
        <v/>
      </c>
      <c r="AU257" s="15" t="str">
        <f t="shared" si="254"/>
        <v/>
      </c>
      <c r="AV257" s="15" t="str">
        <f t="shared" si="254"/>
        <v/>
      </c>
      <c r="AW257" s="15" t="str">
        <f t="shared" si="254"/>
        <v/>
      </c>
      <c r="AX257" s="15" t="str">
        <f t="shared" si="254"/>
        <v/>
      </c>
      <c r="AY257" s="15" t="str">
        <f t="shared" si="254"/>
        <v/>
      </c>
    </row>
    <row r="258" ht="18.0" customHeight="1">
      <c r="A258" s="13" t="str">
        <f t="shared" si="1"/>
        <v/>
      </c>
      <c r="B258" s="13" t="str">
        <f t="shared" si="2"/>
        <v/>
      </c>
      <c r="C258" s="12" t="str">
        <f t="shared" si="3"/>
        <v/>
      </c>
      <c r="D258" s="12" t="str">
        <f t="shared" si="4"/>
        <v/>
      </c>
      <c r="E258" s="12" t="str">
        <f t="shared" si="5"/>
        <v/>
      </c>
      <c r="F258" s="12" t="str">
        <f t="shared" si="6"/>
        <v/>
      </c>
      <c r="G258" s="12" t="str">
        <f t="shared" si="7"/>
        <v/>
      </c>
      <c r="H258" s="12" t="str">
        <f t="shared" si="8"/>
        <v/>
      </c>
      <c r="I258" s="12" t="str">
        <f t="shared" si="9"/>
        <v/>
      </c>
      <c r="J258" s="12" t="str">
        <f t="shared" si="10"/>
        <v/>
      </c>
      <c r="L258" s="15" t="str">
        <f t="shared" ref="L258:AY258" si="255">IF(L$13="","",IF(AND(L$13&gt;$H257,L$13&lt;=$I257),IF(AND(MOD($B$6,2)=1,L$13=ROUNDUP($J257,0)),"0",IF(L$13=INT($H257)+1,ROUNDDOWN(ABS(L$13-$J257),0),IF(L$13=INT($I257),ROUNDUP(ABS(L$13-$J257),0),""))),""))</f>
        <v/>
      </c>
      <c r="M258" s="15" t="str">
        <f t="shared" si="255"/>
        <v/>
      </c>
      <c r="N258" s="15" t="str">
        <f t="shared" si="255"/>
        <v/>
      </c>
      <c r="O258" s="15" t="str">
        <f t="shared" si="255"/>
        <v/>
      </c>
      <c r="P258" s="15" t="str">
        <f t="shared" si="255"/>
        <v/>
      </c>
      <c r="Q258" s="15" t="str">
        <f t="shared" si="255"/>
        <v/>
      </c>
      <c r="R258" s="15" t="str">
        <f t="shared" si="255"/>
        <v/>
      </c>
      <c r="S258" s="15" t="str">
        <f t="shared" si="255"/>
        <v/>
      </c>
      <c r="T258" s="15" t="str">
        <f t="shared" si="255"/>
        <v/>
      </c>
      <c r="U258" s="15" t="str">
        <f t="shared" si="255"/>
        <v/>
      </c>
      <c r="V258" s="15" t="str">
        <f t="shared" si="255"/>
        <v/>
      </c>
      <c r="W258" s="15" t="str">
        <f t="shared" si="255"/>
        <v/>
      </c>
      <c r="X258" s="15" t="str">
        <f t="shared" si="255"/>
        <v/>
      </c>
      <c r="Y258" s="15" t="str">
        <f t="shared" si="255"/>
        <v/>
      </c>
      <c r="Z258" s="15" t="str">
        <f t="shared" si="255"/>
        <v/>
      </c>
      <c r="AA258" s="15" t="str">
        <f t="shared" si="255"/>
        <v/>
      </c>
      <c r="AB258" s="15" t="str">
        <f t="shared" si="255"/>
        <v/>
      </c>
      <c r="AC258" s="15" t="str">
        <f t="shared" si="255"/>
        <v/>
      </c>
      <c r="AD258" s="15" t="str">
        <f t="shared" si="255"/>
        <v/>
      </c>
      <c r="AE258" s="15" t="str">
        <f t="shared" si="255"/>
        <v/>
      </c>
      <c r="AF258" s="15" t="str">
        <f t="shared" si="255"/>
        <v/>
      </c>
      <c r="AG258" s="15" t="str">
        <f t="shared" si="255"/>
        <v/>
      </c>
      <c r="AH258" s="15" t="str">
        <f t="shared" si="255"/>
        <v/>
      </c>
      <c r="AI258" s="15" t="str">
        <f t="shared" si="255"/>
        <v/>
      </c>
      <c r="AJ258" s="15" t="str">
        <f t="shared" si="255"/>
        <v/>
      </c>
      <c r="AK258" s="15" t="str">
        <f t="shared" si="255"/>
        <v/>
      </c>
      <c r="AL258" s="15" t="str">
        <f t="shared" si="255"/>
        <v/>
      </c>
      <c r="AM258" s="15" t="str">
        <f t="shared" si="255"/>
        <v/>
      </c>
      <c r="AN258" s="15" t="str">
        <f t="shared" si="255"/>
        <v/>
      </c>
      <c r="AO258" s="15" t="str">
        <f t="shared" si="255"/>
        <v/>
      </c>
      <c r="AP258" s="15" t="str">
        <f t="shared" si="255"/>
        <v/>
      </c>
      <c r="AQ258" s="15" t="str">
        <f t="shared" si="255"/>
        <v/>
      </c>
      <c r="AR258" s="15" t="str">
        <f t="shared" si="255"/>
        <v/>
      </c>
      <c r="AS258" s="15" t="str">
        <f t="shared" si="255"/>
        <v/>
      </c>
      <c r="AT258" s="15" t="str">
        <f t="shared" si="255"/>
        <v/>
      </c>
      <c r="AU258" s="15" t="str">
        <f t="shared" si="255"/>
        <v/>
      </c>
      <c r="AV258" s="15" t="str">
        <f t="shared" si="255"/>
        <v/>
      </c>
      <c r="AW258" s="15" t="str">
        <f t="shared" si="255"/>
        <v/>
      </c>
      <c r="AX258" s="15" t="str">
        <f t="shared" si="255"/>
        <v/>
      </c>
      <c r="AY258" s="15" t="str">
        <f t="shared" si="255"/>
        <v/>
      </c>
    </row>
    <row r="259" ht="18.0" customHeight="1">
      <c r="A259" s="13" t="str">
        <f t="shared" si="1"/>
        <v/>
      </c>
      <c r="B259" s="13" t="str">
        <f t="shared" si="2"/>
        <v/>
      </c>
      <c r="C259" s="12" t="str">
        <f t="shared" si="3"/>
        <v/>
      </c>
      <c r="D259" s="12" t="str">
        <f t="shared" si="4"/>
        <v/>
      </c>
      <c r="E259" s="12" t="str">
        <f t="shared" si="5"/>
        <v/>
      </c>
      <c r="F259" s="12" t="str">
        <f t="shared" si="6"/>
        <v/>
      </c>
      <c r="G259" s="12" t="str">
        <f t="shared" si="7"/>
        <v/>
      </c>
      <c r="H259" s="12" t="str">
        <f t="shared" si="8"/>
        <v/>
      </c>
      <c r="I259" s="12" t="str">
        <f t="shared" si="9"/>
        <v/>
      </c>
      <c r="J259" s="12" t="str">
        <f t="shared" si="10"/>
        <v/>
      </c>
      <c r="L259" s="15" t="str">
        <f t="shared" ref="L259:AY259" si="256">IF(L$13="","",IF(AND(L$13&gt;$H258,L$13&lt;=$I258),IF(AND(MOD($B$6,2)=1,L$13=ROUNDUP($J258,0)),"0",IF(L$13=INT($H258)+1,ROUNDDOWN(ABS(L$13-$J258),0),IF(L$13=INT($I258),ROUNDUP(ABS(L$13-$J258),0),""))),""))</f>
        <v/>
      </c>
      <c r="M259" s="15" t="str">
        <f t="shared" si="256"/>
        <v/>
      </c>
      <c r="N259" s="15" t="str">
        <f t="shared" si="256"/>
        <v/>
      </c>
      <c r="O259" s="15" t="str">
        <f t="shared" si="256"/>
        <v/>
      </c>
      <c r="P259" s="15" t="str">
        <f t="shared" si="256"/>
        <v/>
      </c>
      <c r="Q259" s="15" t="str">
        <f t="shared" si="256"/>
        <v/>
      </c>
      <c r="R259" s="15" t="str">
        <f t="shared" si="256"/>
        <v/>
      </c>
      <c r="S259" s="15" t="str">
        <f t="shared" si="256"/>
        <v/>
      </c>
      <c r="T259" s="15" t="str">
        <f t="shared" si="256"/>
        <v/>
      </c>
      <c r="U259" s="15" t="str">
        <f t="shared" si="256"/>
        <v/>
      </c>
      <c r="V259" s="15" t="str">
        <f t="shared" si="256"/>
        <v/>
      </c>
      <c r="W259" s="15" t="str">
        <f t="shared" si="256"/>
        <v/>
      </c>
      <c r="X259" s="15" t="str">
        <f t="shared" si="256"/>
        <v/>
      </c>
      <c r="Y259" s="15" t="str">
        <f t="shared" si="256"/>
        <v/>
      </c>
      <c r="Z259" s="15" t="str">
        <f t="shared" si="256"/>
        <v/>
      </c>
      <c r="AA259" s="15" t="str">
        <f t="shared" si="256"/>
        <v/>
      </c>
      <c r="AB259" s="15" t="str">
        <f t="shared" si="256"/>
        <v/>
      </c>
      <c r="AC259" s="15" t="str">
        <f t="shared" si="256"/>
        <v/>
      </c>
      <c r="AD259" s="15" t="str">
        <f t="shared" si="256"/>
        <v/>
      </c>
      <c r="AE259" s="15" t="str">
        <f t="shared" si="256"/>
        <v/>
      </c>
      <c r="AF259" s="15" t="str">
        <f t="shared" si="256"/>
        <v/>
      </c>
      <c r="AG259" s="15" t="str">
        <f t="shared" si="256"/>
        <v/>
      </c>
      <c r="AH259" s="15" t="str">
        <f t="shared" si="256"/>
        <v/>
      </c>
      <c r="AI259" s="15" t="str">
        <f t="shared" si="256"/>
        <v/>
      </c>
      <c r="AJ259" s="15" t="str">
        <f t="shared" si="256"/>
        <v/>
      </c>
      <c r="AK259" s="15" t="str">
        <f t="shared" si="256"/>
        <v/>
      </c>
      <c r="AL259" s="15" t="str">
        <f t="shared" si="256"/>
        <v/>
      </c>
      <c r="AM259" s="15" t="str">
        <f t="shared" si="256"/>
        <v/>
      </c>
      <c r="AN259" s="15" t="str">
        <f t="shared" si="256"/>
        <v/>
      </c>
      <c r="AO259" s="15" t="str">
        <f t="shared" si="256"/>
        <v/>
      </c>
      <c r="AP259" s="15" t="str">
        <f t="shared" si="256"/>
        <v/>
      </c>
      <c r="AQ259" s="15" t="str">
        <f t="shared" si="256"/>
        <v/>
      </c>
      <c r="AR259" s="15" t="str">
        <f t="shared" si="256"/>
        <v/>
      </c>
      <c r="AS259" s="15" t="str">
        <f t="shared" si="256"/>
        <v/>
      </c>
      <c r="AT259" s="15" t="str">
        <f t="shared" si="256"/>
        <v/>
      </c>
      <c r="AU259" s="15" t="str">
        <f t="shared" si="256"/>
        <v/>
      </c>
      <c r="AV259" s="15" t="str">
        <f t="shared" si="256"/>
        <v/>
      </c>
      <c r="AW259" s="15" t="str">
        <f t="shared" si="256"/>
        <v/>
      </c>
      <c r="AX259" s="15" t="str">
        <f t="shared" si="256"/>
        <v/>
      </c>
      <c r="AY259" s="15" t="str">
        <f t="shared" si="256"/>
        <v/>
      </c>
    </row>
    <row r="260" ht="18.0" customHeight="1">
      <c r="A260" s="13" t="str">
        <f t="shared" si="1"/>
        <v/>
      </c>
      <c r="B260" s="13" t="str">
        <f t="shared" si="2"/>
        <v/>
      </c>
      <c r="C260" s="12" t="str">
        <f t="shared" si="3"/>
        <v/>
      </c>
      <c r="D260" s="12" t="str">
        <f t="shared" si="4"/>
        <v/>
      </c>
      <c r="E260" s="12" t="str">
        <f t="shared" si="5"/>
        <v/>
      </c>
      <c r="F260" s="12" t="str">
        <f t="shared" si="6"/>
        <v/>
      </c>
      <c r="G260" s="12" t="str">
        <f t="shared" si="7"/>
        <v/>
      </c>
      <c r="H260" s="12" t="str">
        <f t="shared" si="8"/>
        <v/>
      </c>
      <c r="I260" s="12" t="str">
        <f t="shared" si="9"/>
        <v/>
      </c>
      <c r="J260" s="12" t="str">
        <f t="shared" si="10"/>
        <v/>
      </c>
      <c r="L260" s="15" t="str">
        <f t="shared" ref="L260:AY260" si="257">IF(L$13="","",IF(AND(L$13&gt;$H259,L$13&lt;=$I259),IF(AND(MOD($B$6,2)=1,L$13=ROUNDUP($J259,0)),"0",IF(L$13=INT($H259)+1,ROUNDDOWN(ABS(L$13-$J259),0),IF(L$13=INT($I259),ROUNDUP(ABS(L$13-$J259),0),""))),""))</f>
        <v/>
      </c>
      <c r="M260" s="15" t="str">
        <f t="shared" si="257"/>
        <v/>
      </c>
      <c r="N260" s="15" t="str">
        <f t="shared" si="257"/>
        <v/>
      </c>
      <c r="O260" s="15" t="str">
        <f t="shared" si="257"/>
        <v/>
      </c>
      <c r="P260" s="15" t="str">
        <f t="shared" si="257"/>
        <v/>
      </c>
      <c r="Q260" s="15" t="str">
        <f t="shared" si="257"/>
        <v/>
      </c>
      <c r="R260" s="15" t="str">
        <f t="shared" si="257"/>
        <v/>
      </c>
      <c r="S260" s="15" t="str">
        <f t="shared" si="257"/>
        <v/>
      </c>
      <c r="T260" s="15" t="str">
        <f t="shared" si="257"/>
        <v/>
      </c>
      <c r="U260" s="15" t="str">
        <f t="shared" si="257"/>
        <v/>
      </c>
      <c r="V260" s="15" t="str">
        <f t="shared" si="257"/>
        <v/>
      </c>
      <c r="W260" s="15" t="str">
        <f t="shared" si="257"/>
        <v/>
      </c>
      <c r="X260" s="15" t="str">
        <f t="shared" si="257"/>
        <v/>
      </c>
      <c r="Y260" s="15" t="str">
        <f t="shared" si="257"/>
        <v/>
      </c>
      <c r="Z260" s="15" t="str">
        <f t="shared" si="257"/>
        <v/>
      </c>
      <c r="AA260" s="15" t="str">
        <f t="shared" si="257"/>
        <v/>
      </c>
      <c r="AB260" s="15" t="str">
        <f t="shared" si="257"/>
        <v/>
      </c>
      <c r="AC260" s="15" t="str">
        <f t="shared" si="257"/>
        <v/>
      </c>
      <c r="AD260" s="15" t="str">
        <f t="shared" si="257"/>
        <v/>
      </c>
      <c r="AE260" s="15" t="str">
        <f t="shared" si="257"/>
        <v/>
      </c>
      <c r="AF260" s="15" t="str">
        <f t="shared" si="257"/>
        <v/>
      </c>
      <c r="AG260" s="15" t="str">
        <f t="shared" si="257"/>
        <v/>
      </c>
      <c r="AH260" s="15" t="str">
        <f t="shared" si="257"/>
        <v/>
      </c>
      <c r="AI260" s="15" t="str">
        <f t="shared" si="257"/>
        <v/>
      </c>
      <c r="AJ260" s="15" t="str">
        <f t="shared" si="257"/>
        <v/>
      </c>
      <c r="AK260" s="15" t="str">
        <f t="shared" si="257"/>
        <v/>
      </c>
      <c r="AL260" s="15" t="str">
        <f t="shared" si="257"/>
        <v/>
      </c>
      <c r="AM260" s="15" t="str">
        <f t="shared" si="257"/>
        <v/>
      </c>
      <c r="AN260" s="15" t="str">
        <f t="shared" si="257"/>
        <v/>
      </c>
      <c r="AO260" s="15" t="str">
        <f t="shared" si="257"/>
        <v/>
      </c>
      <c r="AP260" s="15" t="str">
        <f t="shared" si="257"/>
        <v/>
      </c>
      <c r="AQ260" s="15" t="str">
        <f t="shared" si="257"/>
        <v/>
      </c>
      <c r="AR260" s="15" t="str">
        <f t="shared" si="257"/>
        <v/>
      </c>
      <c r="AS260" s="15" t="str">
        <f t="shared" si="257"/>
        <v/>
      </c>
      <c r="AT260" s="15" t="str">
        <f t="shared" si="257"/>
        <v/>
      </c>
      <c r="AU260" s="15" t="str">
        <f t="shared" si="257"/>
        <v/>
      </c>
      <c r="AV260" s="15" t="str">
        <f t="shared" si="257"/>
        <v/>
      </c>
      <c r="AW260" s="15" t="str">
        <f t="shared" si="257"/>
        <v/>
      </c>
      <c r="AX260" s="15" t="str">
        <f t="shared" si="257"/>
        <v/>
      </c>
      <c r="AY260" s="15" t="str">
        <f t="shared" si="257"/>
        <v/>
      </c>
    </row>
    <row r="261" ht="18.0" customHeight="1">
      <c r="A261" s="13" t="str">
        <f t="shared" si="1"/>
        <v/>
      </c>
      <c r="B261" s="13" t="str">
        <f t="shared" si="2"/>
        <v/>
      </c>
      <c r="C261" s="12" t="str">
        <f t="shared" si="3"/>
        <v/>
      </c>
      <c r="D261" s="12" t="str">
        <f t="shared" si="4"/>
        <v/>
      </c>
      <c r="E261" s="12" t="str">
        <f t="shared" si="5"/>
        <v/>
      </c>
      <c r="F261" s="12" t="str">
        <f t="shared" si="6"/>
        <v/>
      </c>
      <c r="G261" s="12" t="str">
        <f t="shared" si="7"/>
        <v/>
      </c>
      <c r="H261" s="12" t="str">
        <f t="shared" si="8"/>
        <v/>
      </c>
      <c r="I261" s="12" t="str">
        <f t="shared" si="9"/>
        <v/>
      </c>
      <c r="J261" s="12" t="str">
        <f t="shared" si="10"/>
        <v/>
      </c>
      <c r="L261" s="15" t="str">
        <f t="shared" ref="L261:AY261" si="258">IF(L$13="","",IF(AND(L$13&gt;$H260,L$13&lt;=$I260),IF(AND(MOD($B$6,2)=1,L$13=ROUNDUP($J260,0)),"0",IF(L$13=INT($H260)+1,ROUNDDOWN(ABS(L$13-$J260),0),IF(L$13=INT($I260),ROUNDUP(ABS(L$13-$J260),0),""))),""))</f>
        <v/>
      </c>
      <c r="M261" s="15" t="str">
        <f t="shared" si="258"/>
        <v/>
      </c>
      <c r="N261" s="15" t="str">
        <f t="shared" si="258"/>
        <v/>
      </c>
      <c r="O261" s="15" t="str">
        <f t="shared" si="258"/>
        <v/>
      </c>
      <c r="P261" s="15" t="str">
        <f t="shared" si="258"/>
        <v/>
      </c>
      <c r="Q261" s="15" t="str">
        <f t="shared" si="258"/>
        <v/>
      </c>
      <c r="R261" s="15" t="str">
        <f t="shared" si="258"/>
        <v/>
      </c>
      <c r="S261" s="15" t="str">
        <f t="shared" si="258"/>
        <v/>
      </c>
      <c r="T261" s="15" t="str">
        <f t="shared" si="258"/>
        <v/>
      </c>
      <c r="U261" s="15" t="str">
        <f t="shared" si="258"/>
        <v/>
      </c>
      <c r="V261" s="15" t="str">
        <f t="shared" si="258"/>
        <v/>
      </c>
      <c r="W261" s="15" t="str">
        <f t="shared" si="258"/>
        <v/>
      </c>
      <c r="X261" s="15" t="str">
        <f t="shared" si="258"/>
        <v/>
      </c>
      <c r="Y261" s="15" t="str">
        <f t="shared" si="258"/>
        <v/>
      </c>
      <c r="Z261" s="15" t="str">
        <f t="shared" si="258"/>
        <v/>
      </c>
      <c r="AA261" s="15" t="str">
        <f t="shared" si="258"/>
        <v/>
      </c>
      <c r="AB261" s="15" t="str">
        <f t="shared" si="258"/>
        <v/>
      </c>
      <c r="AC261" s="15" t="str">
        <f t="shared" si="258"/>
        <v/>
      </c>
      <c r="AD261" s="15" t="str">
        <f t="shared" si="258"/>
        <v/>
      </c>
      <c r="AE261" s="15" t="str">
        <f t="shared" si="258"/>
        <v/>
      </c>
      <c r="AF261" s="15" t="str">
        <f t="shared" si="258"/>
        <v/>
      </c>
      <c r="AG261" s="15" t="str">
        <f t="shared" si="258"/>
        <v/>
      </c>
      <c r="AH261" s="15" t="str">
        <f t="shared" si="258"/>
        <v/>
      </c>
      <c r="AI261" s="15" t="str">
        <f t="shared" si="258"/>
        <v/>
      </c>
      <c r="AJ261" s="15" t="str">
        <f t="shared" si="258"/>
        <v/>
      </c>
      <c r="AK261" s="15" t="str">
        <f t="shared" si="258"/>
        <v/>
      </c>
      <c r="AL261" s="15" t="str">
        <f t="shared" si="258"/>
        <v/>
      </c>
      <c r="AM261" s="15" t="str">
        <f t="shared" si="258"/>
        <v/>
      </c>
      <c r="AN261" s="15" t="str">
        <f t="shared" si="258"/>
        <v/>
      </c>
      <c r="AO261" s="15" t="str">
        <f t="shared" si="258"/>
        <v/>
      </c>
      <c r="AP261" s="15" t="str">
        <f t="shared" si="258"/>
        <v/>
      </c>
      <c r="AQ261" s="15" t="str">
        <f t="shared" si="258"/>
        <v/>
      </c>
      <c r="AR261" s="15" t="str">
        <f t="shared" si="258"/>
        <v/>
      </c>
      <c r="AS261" s="15" t="str">
        <f t="shared" si="258"/>
        <v/>
      </c>
      <c r="AT261" s="15" t="str">
        <f t="shared" si="258"/>
        <v/>
      </c>
      <c r="AU261" s="15" t="str">
        <f t="shared" si="258"/>
        <v/>
      </c>
      <c r="AV261" s="15" t="str">
        <f t="shared" si="258"/>
        <v/>
      </c>
      <c r="AW261" s="15" t="str">
        <f t="shared" si="258"/>
        <v/>
      </c>
      <c r="AX261" s="15" t="str">
        <f t="shared" si="258"/>
        <v/>
      </c>
      <c r="AY261" s="15" t="str">
        <f t="shared" si="258"/>
        <v/>
      </c>
    </row>
    <row r="262" ht="18.0" customHeight="1">
      <c r="A262" s="13" t="str">
        <f t="shared" si="1"/>
        <v/>
      </c>
      <c r="B262" s="13" t="str">
        <f t="shared" si="2"/>
        <v/>
      </c>
      <c r="C262" s="12" t="str">
        <f t="shared" si="3"/>
        <v/>
      </c>
      <c r="D262" s="12" t="str">
        <f t="shared" si="4"/>
        <v/>
      </c>
      <c r="E262" s="12" t="str">
        <f t="shared" si="5"/>
        <v/>
      </c>
      <c r="F262" s="12" t="str">
        <f t="shared" si="6"/>
        <v/>
      </c>
      <c r="G262" s="12" t="str">
        <f t="shared" si="7"/>
        <v/>
      </c>
      <c r="H262" s="12" t="str">
        <f t="shared" si="8"/>
        <v/>
      </c>
      <c r="I262" s="12" t="str">
        <f t="shared" si="9"/>
        <v/>
      </c>
      <c r="J262" s="12" t="str">
        <f t="shared" si="10"/>
        <v/>
      </c>
      <c r="L262" s="15" t="str">
        <f t="shared" ref="L262:AY262" si="259">IF(L$13="","",IF(AND(L$13&gt;$H261,L$13&lt;=$I261),IF(AND(MOD($B$6,2)=1,L$13=ROUNDUP($J261,0)),"0",IF(L$13=INT($H261)+1,ROUNDDOWN(ABS(L$13-$J261),0),IF(L$13=INT($I261),ROUNDUP(ABS(L$13-$J261),0),""))),""))</f>
        <v/>
      </c>
      <c r="M262" s="15" t="str">
        <f t="shared" si="259"/>
        <v/>
      </c>
      <c r="N262" s="15" t="str">
        <f t="shared" si="259"/>
        <v/>
      </c>
      <c r="O262" s="15" t="str">
        <f t="shared" si="259"/>
        <v/>
      </c>
      <c r="P262" s="15" t="str">
        <f t="shared" si="259"/>
        <v/>
      </c>
      <c r="Q262" s="15" t="str">
        <f t="shared" si="259"/>
        <v/>
      </c>
      <c r="R262" s="15" t="str">
        <f t="shared" si="259"/>
        <v/>
      </c>
      <c r="S262" s="15" t="str">
        <f t="shared" si="259"/>
        <v/>
      </c>
      <c r="T262" s="15" t="str">
        <f t="shared" si="259"/>
        <v/>
      </c>
      <c r="U262" s="15" t="str">
        <f t="shared" si="259"/>
        <v/>
      </c>
      <c r="V262" s="15" t="str">
        <f t="shared" si="259"/>
        <v/>
      </c>
      <c r="W262" s="15" t="str">
        <f t="shared" si="259"/>
        <v/>
      </c>
      <c r="X262" s="15" t="str">
        <f t="shared" si="259"/>
        <v/>
      </c>
      <c r="Y262" s="15" t="str">
        <f t="shared" si="259"/>
        <v/>
      </c>
      <c r="Z262" s="15" t="str">
        <f t="shared" si="259"/>
        <v/>
      </c>
      <c r="AA262" s="15" t="str">
        <f t="shared" si="259"/>
        <v/>
      </c>
      <c r="AB262" s="15" t="str">
        <f t="shared" si="259"/>
        <v/>
      </c>
      <c r="AC262" s="15" t="str">
        <f t="shared" si="259"/>
        <v/>
      </c>
      <c r="AD262" s="15" t="str">
        <f t="shared" si="259"/>
        <v/>
      </c>
      <c r="AE262" s="15" t="str">
        <f t="shared" si="259"/>
        <v/>
      </c>
      <c r="AF262" s="15" t="str">
        <f t="shared" si="259"/>
        <v/>
      </c>
      <c r="AG262" s="15" t="str">
        <f t="shared" si="259"/>
        <v/>
      </c>
      <c r="AH262" s="15" t="str">
        <f t="shared" si="259"/>
        <v/>
      </c>
      <c r="AI262" s="15" t="str">
        <f t="shared" si="259"/>
        <v/>
      </c>
      <c r="AJ262" s="15" t="str">
        <f t="shared" si="259"/>
        <v/>
      </c>
      <c r="AK262" s="15" t="str">
        <f t="shared" si="259"/>
        <v/>
      </c>
      <c r="AL262" s="15" t="str">
        <f t="shared" si="259"/>
        <v/>
      </c>
      <c r="AM262" s="15" t="str">
        <f t="shared" si="259"/>
        <v/>
      </c>
      <c r="AN262" s="15" t="str">
        <f t="shared" si="259"/>
        <v/>
      </c>
      <c r="AO262" s="15" t="str">
        <f t="shared" si="259"/>
        <v/>
      </c>
      <c r="AP262" s="15" t="str">
        <f t="shared" si="259"/>
        <v/>
      </c>
      <c r="AQ262" s="15" t="str">
        <f t="shared" si="259"/>
        <v/>
      </c>
      <c r="AR262" s="15" t="str">
        <f t="shared" si="259"/>
        <v/>
      </c>
      <c r="AS262" s="15" t="str">
        <f t="shared" si="259"/>
        <v/>
      </c>
      <c r="AT262" s="15" t="str">
        <f t="shared" si="259"/>
        <v/>
      </c>
      <c r="AU262" s="15" t="str">
        <f t="shared" si="259"/>
        <v/>
      </c>
      <c r="AV262" s="15" t="str">
        <f t="shared" si="259"/>
        <v/>
      </c>
      <c r="AW262" s="15" t="str">
        <f t="shared" si="259"/>
        <v/>
      </c>
      <c r="AX262" s="15" t="str">
        <f t="shared" si="259"/>
        <v/>
      </c>
      <c r="AY262" s="15" t="str">
        <f t="shared" si="259"/>
        <v/>
      </c>
    </row>
    <row r="263" ht="18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L263" s="15" t="str">
        <f t="shared" ref="L263:AY263" si="260">IF(L$13="","",IF(AND(L$13&gt;$H262,L$13&lt;=$I262),IF(AND(MOD($B$6,2)=1,L$13=ROUNDUP($J262,0)),"0",IF(L$13=INT($H262)+1,ROUNDDOWN(ABS(L$13-$J262),0),IF(L$13=INT($I262),ROUNDUP(ABS(L$13-$J262),0),""))),""))</f>
        <v/>
      </c>
      <c r="M263" s="15" t="str">
        <f t="shared" si="260"/>
        <v/>
      </c>
      <c r="N263" s="15" t="str">
        <f t="shared" si="260"/>
        <v/>
      </c>
      <c r="O263" s="15" t="str">
        <f t="shared" si="260"/>
        <v/>
      </c>
      <c r="P263" s="15" t="str">
        <f t="shared" si="260"/>
        <v/>
      </c>
      <c r="Q263" s="15" t="str">
        <f t="shared" si="260"/>
        <v/>
      </c>
      <c r="R263" s="15" t="str">
        <f t="shared" si="260"/>
        <v/>
      </c>
      <c r="S263" s="15" t="str">
        <f t="shared" si="260"/>
        <v/>
      </c>
      <c r="T263" s="15" t="str">
        <f t="shared" si="260"/>
        <v/>
      </c>
      <c r="U263" s="15" t="str">
        <f t="shared" si="260"/>
        <v/>
      </c>
      <c r="V263" s="15" t="str">
        <f t="shared" si="260"/>
        <v/>
      </c>
      <c r="W263" s="15" t="str">
        <f t="shared" si="260"/>
        <v/>
      </c>
      <c r="X263" s="15" t="str">
        <f t="shared" si="260"/>
        <v/>
      </c>
      <c r="Y263" s="15" t="str">
        <f t="shared" si="260"/>
        <v/>
      </c>
      <c r="Z263" s="15" t="str">
        <f t="shared" si="260"/>
        <v/>
      </c>
      <c r="AA263" s="15" t="str">
        <f t="shared" si="260"/>
        <v/>
      </c>
      <c r="AB263" s="15" t="str">
        <f t="shared" si="260"/>
        <v/>
      </c>
      <c r="AC263" s="15" t="str">
        <f t="shared" si="260"/>
        <v/>
      </c>
      <c r="AD263" s="15" t="str">
        <f t="shared" si="260"/>
        <v/>
      </c>
      <c r="AE263" s="15" t="str">
        <f t="shared" si="260"/>
        <v/>
      </c>
      <c r="AF263" s="15" t="str">
        <f t="shared" si="260"/>
        <v/>
      </c>
      <c r="AG263" s="15" t="str">
        <f t="shared" si="260"/>
        <v/>
      </c>
      <c r="AH263" s="15" t="str">
        <f t="shared" si="260"/>
        <v/>
      </c>
      <c r="AI263" s="15" t="str">
        <f t="shared" si="260"/>
        <v/>
      </c>
      <c r="AJ263" s="15" t="str">
        <f t="shared" si="260"/>
        <v/>
      </c>
      <c r="AK263" s="15" t="str">
        <f t="shared" si="260"/>
        <v/>
      </c>
      <c r="AL263" s="15" t="str">
        <f t="shared" si="260"/>
        <v/>
      </c>
      <c r="AM263" s="15" t="str">
        <f t="shared" si="260"/>
        <v/>
      </c>
      <c r="AN263" s="15" t="str">
        <f t="shared" si="260"/>
        <v/>
      </c>
      <c r="AO263" s="15" t="str">
        <f t="shared" si="260"/>
        <v/>
      </c>
      <c r="AP263" s="15" t="str">
        <f t="shared" si="260"/>
        <v/>
      </c>
      <c r="AQ263" s="15" t="str">
        <f t="shared" si="260"/>
        <v/>
      </c>
      <c r="AR263" s="15" t="str">
        <f t="shared" si="260"/>
        <v/>
      </c>
      <c r="AS263" s="15" t="str">
        <f t="shared" si="260"/>
        <v/>
      </c>
      <c r="AT263" s="15" t="str">
        <f t="shared" si="260"/>
        <v/>
      </c>
      <c r="AU263" s="15" t="str">
        <f t="shared" si="260"/>
        <v/>
      </c>
      <c r="AV263" s="15" t="str">
        <f t="shared" si="260"/>
        <v/>
      </c>
      <c r="AW263" s="15" t="str">
        <f t="shared" si="260"/>
        <v/>
      </c>
      <c r="AX263" s="15" t="str">
        <f t="shared" si="260"/>
        <v/>
      </c>
      <c r="AY263" s="15" t="str">
        <f t="shared" si="260"/>
        <v/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L12:AY12"/>
  </mergeCells>
  <conditionalFormatting sqref="L14:AY263">
    <cfRule type="expression" dxfId="0" priority="1">
      <formula>AND(L$13&lt;=$B$6,L$13&gt;$H14,L$13&lt;=$I14,L$13&lt;&gt;INT($H14)+1,L$13&lt;&gt;INT($I14),OR(MOD($B$6,2)=0,L$13&lt;&gt;ROUNDUP($J14,0)))</formula>
    </cfRule>
  </conditionalFormatting>
  <conditionalFormatting sqref="L14:AY263">
    <cfRule type="expression" dxfId="1" priority="2">
      <formula>AND(L$13&lt;=$B$6,L$13=INT($H14)+1,L$13&gt;$H14,L$13&lt;=$I14)</formula>
    </cfRule>
  </conditionalFormatting>
  <conditionalFormatting sqref="L14:AY263">
    <cfRule type="expression" dxfId="2" priority="3">
      <formula>AND(L$13&lt;=$B$6,L$13=INT($I14),L$13&gt;$H14,L$13&lt;=$I14)</formula>
    </cfRule>
  </conditionalFormatting>
  <conditionalFormatting sqref="L14:AY263">
    <cfRule type="expression" dxfId="3" priority="4">
      <formula>AND(MOD($B$6,2)=1,L$13=ROUNDUP($J14,0),L$13&gt;$H14,L$13&lt;=$I14)</formula>
    </cfRule>
  </conditionalFormatting>
  <printOptions/>
  <pageMargins bottom="1.0" footer="0.0" header="0.0" left="0.75" right="0.75" top="1.0"/>
  <pageSetup paperSize="9" orientation="portrait"/>
  <drawing r:id="rId1"/>
</worksheet>
</file>